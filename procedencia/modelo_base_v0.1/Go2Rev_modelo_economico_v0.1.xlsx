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d026ce286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a" sheetId="1" r:id="R949912dc9f8949ba"/>
    <x:sheet xmlns:r="http://schemas.openxmlformats.org/officeDocument/2006/relationships" name="Umbrales" sheetId="2" r:id="R337f207f7f9a499b"/>
    <x:sheet xmlns:r="http://schemas.openxmlformats.org/officeDocument/2006/relationships" name="Capacidad" sheetId="3" r:id="Raef6f0924281459c"/>
    <x:sheet xmlns:r="http://schemas.openxmlformats.org/officeDocument/2006/relationships" name="Caja" sheetId="4" r:id="R367c11e251234c5b"/>
    <x:sheet xmlns:r="http://schemas.openxmlformats.org/officeDocument/2006/relationships" name="Existencias" sheetId="5" r:id="Rf6aa30eb56a5471a"/>
    <x:sheet xmlns:r="http://schemas.openxmlformats.org/officeDocument/2006/relationships" name="Recurrencia" sheetId="6" r:id="R882d93b7f55a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&quot;—&quot;"/>
    <x:numFmt numFmtId="201" formatCode="0.0%"/>
    <x:numFmt numFmtId="202" formatCode="dd/mm/yy"/>
    <x:numFmt numFmtId="203" formatCode="0"/>
  </x:numFmts>
  <x:fonts count="8">
    <x:font>
      <x:sz val="11"/>
      <x:name val="Carlito"/>
    </x:font>
    <x:font>
      <x:sz val="10"/>
      <x:color rgb="FF17212B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2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8A4B0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66e080650414f" /><Relationship Type="http://schemas.openxmlformats.org/officeDocument/2006/relationships/theme" Target="/xl/theme/theme1.xml" Id="R5d85e75853ca4a41" /><Relationship Type="http://schemas.openxmlformats.org/officeDocument/2006/relationships/sharedStrings" Target="/xl/sharedStrings.xml" Id="Ree52a83e0ec94d12" /><Relationship Type="http://schemas.openxmlformats.org/officeDocument/2006/relationships/worksheet" Target="/xl/worksheets/sheet1.xml" Id="R949912dc9f8949ba" /><Relationship Type="http://schemas.openxmlformats.org/officeDocument/2006/relationships/worksheet" Target="/xl/worksheets/sheet2.xml" Id="R337f207f7f9a499b" /><Relationship Type="http://schemas.openxmlformats.org/officeDocument/2006/relationships/worksheet" Target="/xl/worksheets/sheet3.xml" Id="Raef6f0924281459c" /><Relationship Type="http://schemas.openxmlformats.org/officeDocument/2006/relationships/worksheet" Target="/xl/worksheets/sheet4.xml" Id="R367c11e251234c5b" /><Relationship Type="http://schemas.openxmlformats.org/officeDocument/2006/relationships/worksheet" Target="/xl/worksheets/sheet5.xml" Id="Rf6aa30eb56a5471a" /><Relationship Type="http://schemas.openxmlformats.org/officeDocument/2006/relationships/worksheet" Target="/xl/worksheets/sheet6.xml" Id="R882d93b7f55a48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24" hidden="0" customWidth="1"/>
    <x:col min="1" max="1" width="2.5" hidden="0" customWidth="1"/>
    <x:col min="2" max="2" width="2.5" hidden="0" customWidth="1"/>
  </x:cols>
  <x:sheetData>
    <x:row r="2" ht="28" customHeight="1">
      <x:c r="C2" s="5" t="str">
        <x:v>Economía de la combinación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8" customHeight="1">
      <x:c r="C3" s="6" t="str">
        <x:v>Go2Rev · Modelo general v0.1 · Entradas vacías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8" customHeight="1"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8" customHeight="1">
      <x:c r="C5" s="3" t="str">
        <x:v>Combinación y revisión</x:v>
      </x:c>
      <x:c r="D5" s="3"/>
      <x:c r="E5" s="9"/>
      <x:c r="F5" s="10"/>
      <x:c r="G5" s="3" t="str">
        <x:v>Moneda y escala</x:v>
      </x:c>
      <x:c r="H5" s="3"/>
      <x:c r="I5" s="3"/>
      <x:c r="J5" s="9"/>
      <x:c r="K5" s="10"/>
      <x:c r="L5" s="10"/>
      <x:c r="M5" s="10"/>
      <x:c r="N5" s="10"/>
    </x:row>
    <x:row r="6" ht="28" customHeight="1">
      <x:c r="C6" s="3" t="str">
        <x:v>Periodo reconocido</x:v>
      </x:c>
      <x:c r="D6" s="3"/>
      <x:c r="E6" s="9"/>
      <x:c r="F6" s="10"/>
      <x:c r="G6" s="3" t="str">
        <x:v>Base e impuestos</x:v>
      </x:c>
      <x:c r="H6" s="3"/>
      <x:c r="I6" s="3"/>
      <x:c r="J6" s="9"/>
      <x:c r="K6" s="10"/>
      <x:c r="L6" s="10"/>
      <x:c r="M6" s="10"/>
      <x:c r="N6" s="10"/>
    </x:row>
    <x:row r="7" ht="28" customHeight="1">
      <x:c r="C7" s="3" t="str">
        <x:v>Cobertura del perímetro</x:v>
      </x:c>
      <x:c r="D7" s="3"/>
      <x:c r="E7" s="9"/>
      <x:c r="F7" s="10"/>
      <x:c r="G7" s="3" t="str">
        <x:v>AF / contrato K12</x:v>
      </x:c>
      <x:c r="H7" s="3"/>
      <x:c r="I7" s="3"/>
      <x:c r="J7" s="9"/>
      <x:c r="K7" s="10"/>
      <x:c r="L7" s="10"/>
      <x:c r="M7" s="10"/>
      <x:c r="N7" s="10"/>
    </x:row>
    <x:row r="8" ht="28" customHeight="1"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 ht="28" customHeight="1"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 ht="42" customHeight="1">
      <x:c r="C10" s="13" t="str">
        <x:v>Magnitud</x:v>
      </x:c>
      <x:c r="D10" s="13" t="str">
        <x:v>Valor</x:v>
      </x:c>
      <x:c r="E10" s="13" t="str">
        <x:v>Unidad</x:v>
      </x:c>
      <x:c r="F10" s="3"/>
      <x:c r="G10" s="3" t="str">
        <x:v>Lectura del cálculo</x:v>
      </x:c>
      <x:c r="H10" s="3"/>
      <x:c r="I10" s="3"/>
      <x:c r="J10" s="3"/>
      <x:c r="K10" s="3"/>
      <x:c r="L10" s="3"/>
      <x:c r="M10" s="3"/>
      <x:c r="N10" s="3"/>
    </x:row>
    <x:row r="11" ht="28" customHeight="1">
      <x:c r="C11" s="3" t="str">
        <x:v>Ingreso del periodo</x:v>
      </x:c>
      <x:c r="D11" s="14" t="str">
        <x:f>IF(AND(COUNT(J26:J37)&gt;0,COUNT(J26:J37)=COUNTA(C26:C37),AND(AND($E$5&lt;&gt;"",$E$6&lt;&gt;"",$J$5&lt;&gt;"",$J$6&lt;&gt;"",$J$7&lt;&gt;""),COUNTIFS(N26:N37,"Revisar identificación")=0)),SUM(J26:J37),"No calculable")</x:f>
        <x:v>No calculable</x:v>
      </x:c>
      <x:c r="E11" s="14" t="str">
        <x:f>IF($J$5="","",$J$5)</x:f>
      </x:c>
      <x:c r="F11" s="3"/>
      <x:c r="G11" s="3" t="str">
        <x:v>Resultado del perímetro definido en K12.</x:v>
      </x:c>
      <x:c r="H11" s="3"/>
      <x:c r="I11" s="3"/>
      <x:c r="J11" s="3"/>
      <x:c r="K11" s="3"/>
      <x:c r="L11" s="3"/>
      <x:c r="M11" s="3"/>
      <x:c r="N11" s="3"/>
    </x:row>
    <x:row r="12" ht="28" customHeight="1">
      <x:c r="C12" s="3" t="str">
        <x:v>Contribución del periodo</x:v>
      </x:c>
      <x:c r="D12" s="14" t="str">
        <x:f>IF(AND(COUNT(K26:K37)&gt;0,COUNT(K26:K37)=COUNTA(C26:C37),AND(AND($E$5&lt;&gt;"",$E$6&lt;&gt;"",$J$5&lt;&gt;"",$J$6&lt;&gt;"",$J$7&lt;&gt;""),COUNTIFS(N26:N37,"Revisar identificación")=0)),SUM(K26:K37),"No calculable")</x:f>
        <x:v>No calculable</x:v>
      </x:c>
      <x:c r="E12" s="14" t="str">
        <x:f>IF($J$5="","",$J$5)</x:f>
      </x:c>
      <x:c r="F12" s="3"/>
      <x:c r="G12" s="3" t="str">
        <x:v>Contribución después de variables comerciales.</x:v>
      </x:c>
      <x:c r="H12" s="3"/>
      <x:c r="I12" s="3"/>
      <x:c r="J12" s="3"/>
      <x:c r="K12" s="3"/>
      <x:c r="L12" s="3"/>
      <x:c r="M12" s="3"/>
      <x:c r="N12" s="3"/>
    </x:row>
    <x:row r="13" ht="28" customHeight="1">
      <x:c r="C13" s="3" t="str">
        <x:v>Fijos pertinentes</x:v>
      </x:c>
      <x:c r="D13" s="14" t="str">
        <x:f>IF(AND(COUNT(I44:I51)&gt;0,COUNT(I44:I51)=COUNTA(C44:C51),AND(AND($E$5&lt;&gt;"",$E$6&lt;&gt;"",$J$5&lt;&gt;"",$J$6&lt;&gt;"",$J$7&lt;&gt;""),COUNTIFS(I44:I51,"No calculable")=0)),SUM(I44:I51),"No calculable")</x:f>
        <x:v>No calculable</x:v>
      </x:c>
      <x:c r="E13" s="14" t="str">
        <x:f>IF($J$5="","",$J$5)</x:f>
      </x:c>
      <x:c r="F13" s="3"/>
      <x:c r="G13" s="3" t="str">
        <x:v>Cantidad reconocida puede diferir de entrega y cobro.</x:v>
      </x:c>
      <x:c r="H13" s="3"/>
      <x:c r="I13" s="3"/>
      <x:c r="J13" s="3"/>
      <x:c r="K13" s="3"/>
      <x:c r="L13" s="3"/>
      <x:c r="M13" s="3"/>
      <x:c r="N13" s="3"/>
    </x:row>
    <x:row r="14" ht="28" customHeight="1">
      <x:c r="C14" s="3" t="str">
        <x:v>Resultado del perímetro</x:v>
      </x:c>
      <x:c r="D14" s="14" t="str">
        <x:f>IF(AND(COUNT(D12:D13)=2,E7="Completa"),D12-D13,"No calculable")</x:f>
        <x:v>No calculable</x:v>
      </x:c>
      <x:c r="E14" s="14" t="str">
        <x:f>IF($J$5="","",$J$5)</x:f>
      </x:c>
      <x:c r="F14" s="3"/>
      <x:c r="G14" s="3" t="str">
        <x:v>Completar el alcance antes de interpretar sostenibilidad.</x:v>
      </x:c>
      <x:c r="H14" s="3"/>
      <x:c r="I14" s="3"/>
      <x:c r="J14" s="3"/>
      <x:c r="K14" s="3"/>
      <x:c r="L14" s="3"/>
      <x:c r="M14" s="3"/>
      <x:c r="N14" s="3"/>
    </x:row>
    <x:row r="15" ht="28" customHeight="1">
      <x:c r="C15" s="3" t="str">
        <x:v>Margen de contribución</x:v>
      </x:c>
      <x:c r="D15" s="15" t="str">
        <x:f>IF(AND(COUNT(D11:D12)=2,D11&gt;0),D12/D11,"No calculable")</x:f>
        <x:v>No calculable</x:v>
      </x:c>
      <x:c r="E15" s="3" t="str">
        <x:v>Proporción</x:v>
      </x:c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28" customHeight="1"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 ht="28" customHeight="1"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28" customHeight="1">
      <x:c r="C18" s="3" t="str">
        <x:v>Amarillo: entrada editable. No calculable: falta dato, dominio o cobertura.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28" customHeight="1">
      <x:c r="C19" s="3" t="str">
        <x:v>Un cero requiere fuente. Referencias AF por cada entrada material en la fila.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28" customHeight="1"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28" customHeight="1">
      <x:c r="C21" s="3" t="str">
        <x:v>Separar costes del periodo de asignaciones unitarias para no sumarlos dos veces.</x:v>
      </x:c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28" customHeight="1"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 ht="28" customHeight="1"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28" customHeight="1"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42" customHeight="1">
      <x:c r="C25" s="13" t="str">
        <x:v>Oferta / ID único</x:v>
      </x:c>
      <x:c r="D25" s="13" t="str">
        <x:v>Unidad reconocida</x:v>
      </x:c>
      <x:c r="E25" s="13" t="str">
        <x:v>Cantidad</x:v>
      </x:c>
      <x:c r="F25" s="13" t="str">
        <x:v>Ingreso neto / unidad</x:v>
      </x:c>
      <x:c r="G25" s="13" t="str">
        <x:v>Variable entrega / unidad</x:v>
      </x:c>
      <x:c r="H25" s="13" t="str">
        <x:v>Variable comercial / unidad</x:v>
      </x:c>
      <x:c r="I25" s="13" t="str">
        <x:v>Contribución / unidad</x:v>
      </x:c>
      <x:c r="J25" s="13" t="str">
        <x:v>Ingreso</x:v>
      </x:c>
      <x:c r="K25" s="13" t="str">
        <x:v>Contribución total</x:v>
      </x:c>
      <x:c r="L25" s="13" t="str">
        <x:v>Cobertura variable</x:v>
      </x:c>
      <x:c r="M25" s="13" t="str">
        <x:v>AF por entrada</x:v>
      </x:c>
      <x:c r="N25" s="13" t="str">
        <x:v>Estado de fila</x:v>
      </x:c>
    </x:row>
    <x:row r="26" ht="28" customHeight="1">
      <x:c r="C26" s="8"/>
      <x:c r="D26" s="8"/>
      <x:c r="E26" s="8"/>
      <x:c r="F26" s="8"/>
      <x:c r="G26" s="8"/>
      <x:c r="H26" s="8"/>
      <x:c r="I26" s="14" t="str">
        <x:f>IF(COUNTA(C26:H26,L26:M26)=0,"",IF(AND(AND(C26&lt;&gt;"",D26&lt;&gt;"",COUNTIFS($C$26:$C$37,C26)=1,M26&lt;&gt;""),COUNT(F26:H26)=3,MIN(F26:H26)&gt;=0,L26="Completa"),F26-SUM(G26:H26),"No calculable"))</x:f>
      </x:c>
      <x:c r="J26" s="14" t="str">
        <x:f>IF(COUNTA(C26:H26,L26:M26)=0,"",IF(AND(AND(C26&lt;&gt;"",D26&lt;&gt;"",COUNTIFS($C$26:$C$37,C26)=1,M26&lt;&gt;""),COUNT(E26:F26)=2,MIN(E26:F26)&gt;=0),E26*F26,"No calculable"))</x:f>
      </x:c>
      <x:c r="K26" s="14" t="str">
        <x:f>IF(COUNTA(C26:H26,L26:M26)=0,"",IF(AND(ISNUMBER(E26),E26&gt;=0,ISNUMBER(I26)),E26*I26,"No calculable"))</x:f>
      </x:c>
      <x:c r="L26" s="8"/>
      <x:c r="M26" s="9"/>
      <x:c r="N26" s="16" t="str">
        <x:f>IF(COUNTA(C26:H26,L26:M26)=0,"",IF(NOT(AND(C26&lt;&gt;"",D26&lt;&gt;"",COUNTIFS($C$26:$C$37,C26)=1,M26&lt;&gt;"")),"Revisar identificación",IF(AND(ISNUMBER(J26),ISNUMBER(K26)),"Calculable","Revisar entradas")))</x:f>
      </x:c>
    </x:row>
    <x:row r="27" ht="28" customHeight="1">
      <x:c r="C27" s="8"/>
      <x:c r="D27" s="8"/>
      <x:c r="E27" s="8"/>
      <x:c r="F27" s="8"/>
      <x:c r="G27" s="8"/>
      <x:c r="H27" s="8"/>
      <x:c r="I27" s="14" t="str">
        <x:f>IF(COUNTA(C27:H27,L27:M27)=0,"",IF(AND(AND(C27&lt;&gt;"",D27&lt;&gt;"",COUNTIFS($C$26:$C$37,C27)=1,M27&lt;&gt;""),COUNT(F27:H27)=3,MIN(F27:H27)&gt;=0,L27="Completa"),F27-SUM(G27:H27),"No calculable"))</x:f>
      </x:c>
      <x:c r="J27" s="14" t="str">
        <x:f>IF(COUNTA(C27:H27,L27:M27)=0,"",IF(AND(AND(C27&lt;&gt;"",D27&lt;&gt;"",COUNTIFS($C$26:$C$37,C27)=1,M27&lt;&gt;""),COUNT(E27:F27)=2,MIN(E27:F27)&gt;=0),E27*F27,"No calculable"))</x:f>
      </x:c>
      <x:c r="K27" s="14" t="str">
        <x:f>IF(COUNTA(C27:H27,L27:M27)=0,"",IF(AND(ISNUMBER(E27),E27&gt;=0,ISNUMBER(I27)),E27*I27,"No calculable"))</x:f>
      </x:c>
      <x:c r="L27" s="8"/>
      <x:c r="M27" s="9"/>
      <x:c r="N27" s="16" t="str">
        <x:f>IF(COUNTA(C27:H27,L27:M27)=0,"",IF(NOT(AND(C27&lt;&gt;"",D27&lt;&gt;"",COUNTIFS($C$26:$C$37,C27)=1,M27&lt;&gt;"")),"Revisar identificación",IF(AND(ISNUMBER(J27),ISNUMBER(K27)),"Calculable","Revisar entradas")))</x:f>
      </x:c>
    </x:row>
    <x:row r="28" ht="28" customHeight="1">
      <x:c r="C28" s="8"/>
      <x:c r="D28" s="8"/>
      <x:c r="E28" s="8"/>
      <x:c r="F28" s="8"/>
      <x:c r="G28" s="8"/>
      <x:c r="H28" s="8"/>
      <x:c r="I28" s="14" t="str">
        <x:f>IF(COUNTA(C28:H28,L28:M28)=0,"",IF(AND(AND(C28&lt;&gt;"",D28&lt;&gt;"",COUNTIFS($C$26:$C$37,C28)=1,M28&lt;&gt;""),COUNT(F28:H28)=3,MIN(F28:H28)&gt;=0,L28="Completa"),F28-SUM(G28:H28),"No calculable"))</x:f>
      </x:c>
      <x:c r="J28" s="14" t="str">
        <x:f>IF(COUNTA(C28:H28,L28:M28)=0,"",IF(AND(AND(C28&lt;&gt;"",D28&lt;&gt;"",COUNTIFS($C$26:$C$37,C28)=1,M28&lt;&gt;""),COUNT(E28:F28)=2,MIN(E28:F28)&gt;=0),E28*F28,"No calculable"))</x:f>
      </x:c>
      <x:c r="K28" s="14" t="str">
        <x:f>IF(COUNTA(C28:H28,L28:M28)=0,"",IF(AND(ISNUMBER(E28),E28&gt;=0,ISNUMBER(I28)),E28*I28,"No calculable"))</x:f>
      </x:c>
      <x:c r="L28" s="8"/>
      <x:c r="M28" s="9"/>
      <x:c r="N28" s="16" t="str">
        <x:f>IF(COUNTA(C28:H28,L28:M28)=0,"",IF(NOT(AND(C28&lt;&gt;"",D28&lt;&gt;"",COUNTIFS($C$26:$C$37,C28)=1,M28&lt;&gt;"")),"Revisar identificación",IF(AND(ISNUMBER(J28),ISNUMBER(K28)),"Calculable","Revisar entradas")))</x:f>
      </x:c>
    </x:row>
    <x:row r="29" ht="28" customHeight="1">
      <x:c r="C29" s="8"/>
      <x:c r="D29" s="8"/>
      <x:c r="E29" s="8"/>
      <x:c r="F29" s="8"/>
      <x:c r="G29" s="8"/>
      <x:c r="H29" s="8"/>
      <x:c r="I29" s="14" t="str">
        <x:f>IF(COUNTA(C29:H29,L29:M29)=0,"",IF(AND(AND(C29&lt;&gt;"",D29&lt;&gt;"",COUNTIFS($C$26:$C$37,C29)=1,M29&lt;&gt;""),COUNT(F29:H29)=3,MIN(F29:H29)&gt;=0,L29="Completa"),F29-SUM(G29:H29),"No calculable"))</x:f>
      </x:c>
      <x:c r="J29" s="14" t="str">
        <x:f>IF(COUNTA(C29:H29,L29:M29)=0,"",IF(AND(AND(C29&lt;&gt;"",D29&lt;&gt;"",COUNTIFS($C$26:$C$37,C29)=1,M29&lt;&gt;""),COUNT(E29:F29)=2,MIN(E29:F29)&gt;=0),E29*F29,"No calculable"))</x:f>
      </x:c>
      <x:c r="K29" s="14" t="str">
        <x:f>IF(COUNTA(C29:H29,L29:M29)=0,"",IF(AND(ISNUMBER(E29),E29&gt;=0,ISNUMBER(I29)),E29*I29,"No calculable"))</x:f>
      </x:c>
      <x:c r="L29" s="8"/>
      <x:c r="M29" s="9"/>
      <x:c r="N29" s="16" t="str">
        <x:f>IF(COUNTA(C29:H29,L29:M29)=0,"",IF(NOT(AND(C29&lt;&gt;"",D29&lt;&gt;"",COUNTIFS($C$26:$C$37,C29)=1,M29&lt;&gt;"")),"Revisar identificación",IF(AND(ISNUMBER(J29),ISNUMBER(K29)),"Calculable","Revisar entradas")))</x:f>
      </x:c>
    </x:row>
    <x:row r="30" ht="28" customHeight="1">
      <x:c r="C30" s="8"/>
      <x:c r="D30" s="8"/>
      <x:c r="E30" s="8"/>
      <x:c r="F30" s="8"/>
      <x:c r="G30" s="8"/>
      <x:c r="H30" s="8"/>
      <x:c r="I30" s="14" t="str">
        <x:f>IF(COUNTA(C30:H30,L30:M30)=0,"",IF(AND(AND(C30&lt;&gt;"",D30&lt;&gt;"",COUNTIFS($C$26:$C$37,C30)=1,M30&lt;&gt;""),COUNT(F30:H30)=3,MIN(F30:H30)&gt;=0,L30="Completa"),F30-SUM(G30:H30),"No calculable"))</x:f>
      </x:c>
      <x:c r="J30" s="14" t="str">
        <x:f>IF(COUNTA(C30:H30,L30:M30)=0,"",IF(AND(AND(C30&lt;&gt;"",D30&lt;&gt;"",COUNTIFS($C$26:$C$37,C30)=1,M30&lt;&gt;""),COUNT(E30:F30)=2,MIN(E30:F30)&gt;=0),E30*F30,"No calculable"))</x:f>
      </x:c>
      <x:c r="K30" s="14" t="str">
        <x:f>IF(COUNTA(C30:H30,L30:M30)=0,"",IF(AND(ISNUMBER(E30),E30&gt;=0,ISNUMBER(I30)),E30*I30,"No calculable"))</x:f>
      </x:c>
      <x:c r="L30" s="8"/>
      <x:c r="M30" s="9"/>
      <x:c r="N30" s="16" t="str">
        <x:f>IF(COUNTA(C30:H30,L30:M30)=0,"",IF(NOT(AND(C30&lt;&gt;"",D30&lt;&gt;"",COUNTIFS($C$26:$C$37,C30)=1,M30&lt;&gt;"")),"Revisar identificación",IF(AND(ISNUMBER(J30),ISNUMBER(K30)),"Calculable","Revisar entradas")))</x:f>
      </x:c>
    </x:row>
    <x:row r="31" ht="28" customHeight="1">
      <x:c r="C31" s="8"/>
      <x:c r="D31" s="8"/>
      <x:c r="E31" s="8"/>
      <x:c r="F31" s="8"/>
      <x:c r="G31" s="8"/>
      <x:c r="H31" s="8"/>
      <x:c r="I31" s="14" t="str">
        <x:f>IF(COUNTA(C31:H31,L31:M31)=0,"",IF(AND(AND(C31&lt;&gt;"",D31&lt;&gt;"",COUNTIFS($C$26:$C$37,C31)=1,M31&lt;&gt;""),COUNT(F31:H31)=3,MIN(F31:H31)&gt;=0,L31="Completa"),F31-SUM(G31:H31),"No calculable"))</x:f>
      </x:c>
      <x:c r="J31" s="14" t="str">
        <x:f>IF(COUNTA(C31:H31,L31:M31)=0,"",IF(AND(AND(C31&lt;&gt;"",D31&lt;&gt;"",COUNTIFS($C$26:$C$37,C31)=1,M31&lt;&gt;""),COUNT(E31:F31)=2,MIN(E31:F31)&gt;=0),E31*F31,"No calculable"))</x:f>
      </x:c>
      <x:c r="K31" s="14" t="str">
        <x:f>IF(COUNTA(C31:H31,L31:M31)=0,"",IF(AND(ISNUMBER(E31),E31&gt;=0,ISNUMBER(I31)),E31*I31,"No calculable"))</x:f>
      </x:c>
      <x:c r="L31" s="8"/>
      <x:c r="M31" s="9"/>
      <x:c r="N31" s="16" t="str">
        <x:f>IF(COUNTA(C31:H31,L31:M31)=0,"",IF(NOT(AND(C31&lt;&gt;"",D31&lt;&gt;"",COUNTIFS($C$26:$C$37,C31)=1,M31&lt;&gt;"")),"Revisar identificación",IF(AND(ISNUMBER(J31),ISNUMBER(K31)),"Calculable","Revisar entradas")))</x:f>
      </x:c>
    </x:row>
    <x:row r="32" ht="28" customHeight="1">
      <x:c r="C32" s="8"/>
      <x:c r="D32" s="8"/>
      <x:c r="E32" s="8"/>
      <x:c r="F32" s="8"/>
      <x:c r="G32" s="8"/>
      <x:c r="H32" s="8"/>
      <x:c r="I32" s="14" t="str">
        <x:f>IF(COUNTA(C32:H32,L32:M32)=0,"",IF(AND(AND(C32&lt;&gt;"",D32&lt;&gt;"",COUNTIFS($C$26:$C$37,C32)=1,M32&lt;&gt;""),COUNT(F32:H32)=3,MIN(F32:H32)&gt;=0,L32="Completa"),F32-SUM(G32:H32),"No calculable"))</x:f>
      </x:c>
      <x:c r="J32" s="14" t="str">
        <x:f>IF(COUNTA(C32:H32,L32:M32)=0,"",IF(AND(AND(C32&lt;&gt;"",D32&lt;&gt;"",COUNTIFS($C$26:$C$37,C32)=1,M32&lt;&gt;""),COUNT(E32:F32)=2,MIN(E32:F32)&gt;=0),E32*F32,"No calculable"))</x:f>
      </x:c>
      <x:c r="K32" s="14" t="str">
        <x:f>IF(COUNTA(C32:H32,L32:M32)=0,"",IF(AND(ISNUMBER(E32),E32&gt;=0,ISNUMBER(I32)),E32*I32,"No calculable"))</x:f>
      </x:c>
      <x:c r="L32" s="8"/>
      <x:c r="M32" s="9"/>
      <x:c r="N32" s="16" t="str">
        <x:f>IF(COUNTA(C32:H32,L32:M32)=0,"",IF(NOT(AND(C32&lt;&gt;"",D32&lt;&gt;"",COUNTIFS($C$26:$C$37,C32)=1,M32&lt;&gt;"")),"Revisar identificación",IF(AND(ISNUMBER(J32),ISNUMBER(K32)),"Calculable","Revisar entradas")))</x:f>
      </x:c>
    </x:row>
    <x:row r="33" ht="28" customHeight="1">
      <x:c r="C33" s="8"/>
      <x:c r="D33" s="8"/>
      <x:c r="E33" s="8"/>
      <x:c r="F33" s="8"/>
      <x:c r="G33" s="8"/>
      <x:c r="H33" s="8"/>
      <x:c r="I33" s="14" t="str">
        <x:f>IF(COUNTA(C33:H33,L33:M33)=0,"",IF(AND(AND(C33&lt;&gt;"",D33&lt;&gt;"",COUNTIFS($C$26:$C$37,C33)=1,M33&lt;&gt;""),COUNT(F33:H33)=3,MIN(F33:H33)&gt;=0,L33="Completa"),F33-SUM(G33:H33),"No calculable"))</x:f>
      </x:c>
      <x:c r="J33" s="14" t="str">
        <x:f>IF(COUNTA(C33:H33,L33:M33)=0,"",IF(AND(AND(C33&lt;&gt;"",D33&lt;&gt;"",COUNTIFS($C$26:$C$37,C33)=1,M33&lt;&gt;""),COUNT(E33:F33)=2,MIN(E33:F33)&gt;=0),E33*F33,"No calculable"))</x:f>
      </x:c>
      <x:c r="K33" s="14" t="str">
        <x:f>IF(COUNTA(C33:H33,L33:M33)=0,"",IF(AND(ISNUMBER(E33),E33&gt;=0,ISNUMBER(I33)),E33*I33,"No calculable"))</x:f>
      </x:c>
      <x:c r="L33" s="8"/>
      <x:c r="M33" s="9"/>
      <x:c r="N33" s="16" t="str">
        <x:f>IF(COUNTA(C33:H33,L33:M33)=0,"",IF(NOT(AND(C33&lt;&gt;"",D33&lt;&gt;"",COUNTIFS($C$26:$C$37,C33)=1,M33&lt;&gt;"")),"Revisar identificación",IF(AND(ISNUMBER(J33),ISNUMBER(K33)),"Calculable","Revisar entradas")))</x:f>
      </x:c>
    </x:row>
    <x:row r="34" ht="28" customHeight="1">
      <x:c r="C34" s="8"/>
      <x:c r="D34" s="8"/>
      <x:c r="E34" s="8"/>
      <x:c r="F34" s="8"/>
      <x:c r="G34" s="8"/>
      <x:c r="H34" s="8"/>
      <x:c r="I34" s="14" t="str">
        <x:f>IF(COUNTA(C34:H34,L34:M34)=0,"",IF(AND(AND(C34&lt;&gt;"",D34&lt;&gt;"",COUNTIFS($C$26:$C$37,C34)=1,M34&lt;&gt;""),COUNT(F34:H34)=3,MIN(F34:H34)&gt;=0,L34="Completa"),F34-SUM(G34:H34),"No calculable"))</x:f>
      </x:c>
      <x:c r="J34" s="14" t="str">
        <x:f>IF(COUNTA(C34:H34,L34:M34)=0,"",IF(AND(AND(C34&lt;&gt;"",D34&lt;&gt;"",COUNTIFS($C$26:$C$37,C34)=1,M34&lt;&gt;""),COUNT(E34:F34)=2,MIN(E34:F34)&gt;=0),E34*F34,"No calculable"))</x:f>
      </x:c>
      <x:c r="K34" s="14" t="str">
        <x:f>IF(COUNTA(C34:H34,L34:M34)=0,"",IF(AND(ISNUMBER(E34),E34&gt;=0,ISNUMBER(I34)),E34*I34,"No calculable"))</x:f>
      </x:c>
      <x:c r="L34" s="8"/>
      <x:c r="M34" s="9"/>
      <x:c r="N34" s="16" t="str">
        <x:f>IF(COUNTA(C34:H34,L34:M34)=0,"",IF(NOT(AND(C34&lt;&gt;"",D34&lt;&gt;"",COUNTIFS($C$26:$C$37,C34)=1,M34&lt;&gt;"")),"Revisar identificación",IF(AND(ISNUMBER(J34),ISNUMBER(K34)),"Calculable","Revisar entradas")))</x:f>
      </x:c>
    </x:row>
    <x:row r="35" ht="28" customHeight="1">
      <x:c r="C35" s="8"/>
      <x:c r="D35" s="8"/>
      <x:c r="E35" s="8"/>
      <x:c r="F35" s="8"/>
      <x:c r="G35" s="8"/>
      <x:c r="H35" s="8"/>
      <x:c r="I35" s="14" t="str">
        <x:f>IF(COUNTA(C35:H35,L35:M35)=0,"",IF(AND(AND(C35&lt;&gt;"",D35&lt;&gt;"",COUNTIFS($C$26:$C$37,C35)=1,M35&lt;&gt;""),COUNT(F35:H35)=3,MIN(F35:H35)&gt;=0,L35="Completa"),F35-SUM(G35:H35),"No calculable"))</x:f>
      </x:c>
      <x:c r="J35" s="14" t="str">
        <x:f>IF(COUNTA(C35:H35,L35:M35)=0,"",IF(AND(AND(C35&lt;&gt;"",D35&lt;&gt;"",COUNTIFS($C$26:$C$37,C35)=1,M35&lt;&gt;""),COUNT(E35:F35)=2,MIN(E35:F35)&gt;=0),E35*F35,"No calculable"))</x:f>
      </x:c>
      <x:c r="K35" s="14" t="str">
        <x:f>IF(COUNTA(C35:H35,L35:M35)=0,"",IF(AND(ISNUMBER(E35),E35&gt;=0,ISNUMBER(I35)),E35*I35,"No calculable"))</x:f>
      </x:c>
      <x:c r="L35" s="8"/>
      <x:c r="M35" s="9"/>
      <x:c r="N35" s="16" t="str">
        <x:f>IF(COUNTA(C35:H35,L35:M35)=0,"",IF(NOT(AND(C35&lt;&gt;"",D35&lt;&gt;"",COUNTIFS($C$26:$C$37,C35)=1,M35&lt;&gt;"")),"Revisar identificación",IF(AND(ISNUMBER(J35),ISNUMBER(K35)),"Calculable","Revisar entradas")))</x:f>
      </x:c>
    </x:row>
    <x:row r="36" ht="28" customHeight="1">
      <x:c r="C36" s="8"/>
      <x:c r="D36" s="8"/>
      <x:c r="E36" s="8"/>
      <x:c r="F36" s="8"/>
      <x:c r="G36" s="8"/>
      <x:c r="H36" s="8"/>
      <x:c r="I36" s="14" t="str">
        <x:f>IF(COUNTA(C36:H36,L36:M36)=0,"",IF(AND(AND(C36&lt;&gt;"",D36&lt;&gt;"",COUNTIFS($C$26:$C$37,C36)=1,M36&lt;&gt;""),COUNT(F36:H36)=3,MIN(F36:H36)&gt;=0,L36="Completa"),F36-SUM(G36:H36),"No calculable"))</x:f>
      </x:c>
      <x:c r="J36" s="14" t="str">
        <x:f>IF(COUNTA(C36:H36,L36:M36)=0,"",IF(AND(AND(C36&lt;&gt;"",D36&lt;&gt;"",COUNTIFS($C$26:$C$37,C36)=1,M36&lt;&gt;""),COUNT(E36:F36)=2,MIN(E36:F36)&gt;=0),E36*F36,"No calculable"))</x:f>
      </x:c>
      <x:c r="K36" s="14" t="str">
        <x:f>IF(COUNTA(C36:H36,L36:M36)=0,"",IF(AND(ISNUMBER(E36),E36&gt;=0,ISNUMBER(I36)),E36*I36,"No calculable"))</x:f>
      </x:c>
      <x:c r="L36" s="8"/>
      <x:c r="M36" s="9"/>
      <x:c r="N36" s="16" t="str">
        <x:f>IF(COUNTA(C36:H36,L36:M36)=0,"",IF(NOT(AND(C36&lt;&gt;"",D36&lt;&gt;"",COUNTIFS($C$26:$C$37,C36)=1,M36&lt;&gt;"")),"Revisar identificación",IF(AND(ISNUMBER(J36),ISNUMBER(K36)),"Calculable","Revisar entradas")))</x:f>
      </x:c>
    </x:row>
    <x:row r="37" ht="28" customHeight="1">
      <x:c r="C37" s="8"/>
      <x:c r="D37" s="8"/>
      <x:c r="E37" s="8"/>
      <x:c r="F37" s="8"/>
      <x:c r="G37" s="8"/>
      <x:c r="H37" s="8"/>
      <x:c r="I37" s="14" t="str">
        <x:f>IF(COUNTA(C37:H37,L37:M37)=0,"",IF(AND(AND(C37&lt;&gt;"",D37&lt;&gt;"",COUNTIFS($C$26:$C$37,C37)=1,M37&lt;&gt;""),COUNT(F37:H37)=3,MIN(F37:H37)&gt;=0,L37="Completa"),F37-SUM(G37:H37),"No calculable"))</x:f>
      </x:c>
      <x:c r="J37" s="14" t="str">
        <x:f>IF(COUNTA(C37:H37,L37:M37)=0,"",IF(AND(AND(C37&lt;&gt;"",D37&lt;&gt;"",COUNTIFS($C$26:$C$37,C37)=1,M37&lt;&gt;""),COUNT(E37:F37)=2,MIN(E37:F37)&gt;=0),E37*F37,"No calculable"))</x:f>
      </x:c>
      <x:c r="K37" s="14" t="str">
        <x:f>IF(COUNTA(C37:H37,L37:M37)=0,"",IF(AND(ISNUMBER(E37),E37&gt;=0,ISNUMBER(I37)),E37*I37,"No calculable"))</x:f>
      </x:c>
      <x:c r="L37" s="8"/>
      <x:c r="M37" s="9"/>
      <x:c r="N37" s="16" t="str">
        <x:f>IF(COUNTA(C37:H37,L37:M37)=0,"",IF(NOT(AND(C37&lt;&gt;"",D37&lt;&gt;"",COUNTIFS($C$26:$C$37,C37)=1,M37&lt;&gt;"")),"Revisar identificación",IF(AND(ISNUMBER(J37),ISNUMBER(K37)),"Calculable","Revisar entradas")))</x:f>
      </x:c>
    </x:row>
    <x:row r="38" ht="28" customHeight="1"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 ht="28" customHeight="1"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 ht="28" customHeight="1"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 ht="28" customHeight="1"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 ht="28" customHeight="1"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 ht="42" customHeight="1">
      <x:c r="C43" s="13" t="str">
        <x:v>Partida fija / ID único</x:v>
      </x:c>
      <x:c r="D43" s="13" t="str">
        <x:v>Importe del periodo</x:v>
      </x:c>
      <x:c r="E43" s="13" t="str">
        <x:v>Clasificación / rango</x:v>
      </x:c>
      <x:c r="F43" s="13" t="str">
        <x:v>AF / revisión / campo</x:v>
      </x:c>
      <x:c r="G43" s="13" t="str">
        <x:v>Inclusión una sola vez</x:v>
      </x:c>
      <x:c r="H43" s="13" t="str">
        <x:v>Cobertura</x:v>
      </x:c>
      <x:c r="I43" s="13" t="str">
        <x:v>Importe admitido</x:v>
      </x:c>
      <x:c r="J43" s="3"/>
      <x:c r="K43" s="3"/>
      <x:c r="L43" s="3"/>
      <x:c r="M43" s="3"/>
      <x:c r="N43" s="3"/>
    </x:row>
    <x:row r="44" ht="28" customHeight="1">
      <x:c r="C44" s="8"/>
      <x:c r="D44" s="8"/>
      <x:c r="E44" s="9"/>
      <x:c r="F44" s="9"/>
      <x:c r="G44" s="9"/>
      <x:c r="H44" s="9"/>
      <x:c r="I44" s="14" t="str">
        <x:f>IF(COUNTA(C44:H44)=0,"",IF(AND(C44&lt;&gt;"",COUNTIFS($C$44:$C$51,C44)=1,ISNUMBER(D44),D44&gt;=0,E44&lt;&gt;"",F44&lt;&gt;"",G44="Incluida aquí",H44="Completa"),D44,"No calculable"))</x:f>
      </x:c>
      <x:c r="J44" s="3"/>
      <x:c r="K44" s="3"/>
      <x:c r="L44" s="3"/>
      <x:c r="M44" s="3"/>
      <x:c r="N44" s="3"/>
    </x:row>
    <x:row r="45" ht="28" customHeight="1">
      <x:c r="C45" s="8"/>
      <x:c r="D45" s="8"/>
      <x:c r="E45" s="9"/>
      <x:c r="F45" s="9"/>
      <x:c r="G45" s="9"/>
      <x:c r="H45" s="9"/>
      <x:c r="I45" s="14" t="str">
        <x:f>IF(COUNTA(C45:H45)=0,"",IF(AND(C45&lt;&gt;"",COUNTIFS($C$44:$C$51,C45)=1,ISNUMBER(D45),D45&gt;=0,E45&lt;&gt;"",F45&lt;&gt;"",G45="Incluida aquí",H45="Completa"),D45,"No calculable"))</x:f>
      </x:c>
      <x:c r="J45" s="3"/>
      <x:c r="K45" s="3"/>
      <x:c r="L45" s="3"/>
      <x:c r="M45" s="3"/>
      <x:c r="N45" s="3"/>
    </x:row>
    <x:row r="46" ht="28" customHeight="1">
      <x:c r="C46" s="8"/>
      <x:c r="D46" s="8"/>
      <x:c r="E46" s="9"/>
      <x:c r="F46" s="9"/>
      <x:c r="G46" s="9"/>
      <x:c r="H46" s="9"/>
      <x:c r="I46" s="14" t="str">
        <x:f>IF(COUNTA(C46:H46)=0,"",IF(AND(C46&lt;&gt;"",COUNTIFS($C$44:$C$51,C46)=1,ISNUMBER(D46),D46&gt;=0,E46&lt;&gt;"",F46&lt;&gt;"",G46="Incluida aquí",H46="Completa"),D46,"No calculable"))</x:f>
      </x:c>
      <x:c r="J46" s="3"/>
      <x:c r="K46" s="3"/>
      <x:c r="L46" s="3"/>
      <x:c r="M46" s="3"/>
      <x:c r="N46" s="3"/>
    </x:row>
    <x:row r="47" ht="28" customHeight="1">
      <x:c r="C47" s="8"/>
      <x:c r="D47" s="8"/>
      <x:c r="E47" s="9"/>
      <x:c r="F47" s="9"/>
      <x:c r="G47" s="9"/>
      <x:c r="H47" s="9"/>
      <x:c r="I47" s="14" t="str">
        <x:f>IF(COUNTA(C47:H47)=0,"",IF(AND(C47&lt;&gt;"",COUNTIFS($C$44:$C$51,C47)=1,ISNUMBER(D47),D47&gt;=0,E47&lt;&gt;"",F47&lt;&gt;"",G47="Incluida aquí",H47="Completa"),D47,"No calculable"))</x:f>
      </x:c>
      <x:c r="J47" s="3"/>
      <x:c r="K47" s="3"/>
      <x:c r="L47" s="3"/>
      <x:c r="M47" s="3"/>
      <x:c r="N47" s="3"/>
    </x:row>
    <x:row r="48" ht="28" customHeight="1">
      <x:c r="C48" s="8"/>
      <x:c r="D48" s="8"/>
      <x:c r="E48" s="9"/>
      <x:c r="F48" s="9"/>
      <x:c r="G48" s="9"/>
      <x:c r="H48" s="9"/>
      <x:c r="I48" s="14" t="str">
        <x:f>IF(COUNTA(C48:H48)=0,"",IF(AND(C48&lt;&gt;"",COUNTIFS($C$44:$C$51,C48)=1,ISNUMBER(D48),D48&gt;=0,E48&lt;&gt;"",F48&lt;&gt;"",G48="Incluida aquí",H48="Completa"),D48,"No calculable"))</x:f>
      </x:c>
      <x:c r="J48" s="3"/>
      <x:c r="K48" s="3"/>
      <x:c r="L48" s="3"/>
      <x:c r="M48" s="3"/>
      <x:c r="N48" s="3"/>
    </x:row>
    <x:row r="49" ht="28" customHeight="1">
      <x:c r="C49" s="8"/>
      <x:c r="D49" s="8"/>
      <x:c r="E49" s="9"/>
      <x:c r="F49" s="9"/>
      <x:c r="G49" s="9"/>
      <x:c r="H49" s="9"/>
      <x:c r="I49" s="14" t="str">
        <x:f>IF(COUNTA(C49:H49)=0,"",IF(AND(C49&lt;&gt;"",COUNTIFS($C$44:$C$51,C49)=1,ISNUMBER(D49),D49&gt;=0,E49&lt;&gt;"",F49&lt;&gt;"",G49="Incluida aquí",H49="Completa"),D49,"No calculable"))</x:f>
      </x:c>
      <x:c r="J49" s="3"/>
      <x:c r="K49" s="3"/>
      <x:c r="L49" s="3"/>
      <x:c r="M49" s="3"/>
      <x:c r="N49" s="3"/>
    </x:row>
    <x:row r="50" ht="28" customHeight="1">
      <x:c r="C50" s="8"/>
      <x:c r="D50" s="8"/>
      <x:c r="E50" s="9"/>
      <x:c r="F50" s="9"/>
      <x:c r="G50" s="9"/>
      <x:c r="H50" s="9"/>
      <x:c r="I50" s="14" t="str">
        <x:f>IF(COUNTA(C50:H50)=0,"",IF(AND(C50&lt;&gt;"",COUNTIFS($C$44:$C$51,C50)=1,ISNUMBER(D50),D50&gt;=0,E50&lt;&gt;"",F50&lt;&gt;"",G50="Incluida aquí",H50="Completa"),D50,"No calculable"))</x:f>
      </x:c>
      <x:c r="J50" s="3"/>
      <x:c r="K50" s="3"/>
      <x:c r="L50" s="3"/>
      <x:c r="M50" s="3"/>
      <x:c r="N50" s="3"/>
    </x:row>
    <x:row r="51" ht="28" customHeight="1">
      <x:c r="C51" s="8"/>
      <x:c r="D51" s="8"/>
      <x:c r="E51" s="9"/>
      <x:c r="F51" s="9"/>
      <x:c r="G51" s="9"/>
      <x:c r="H51" s="9"/>
      <x:c r="I51" s="14" t="str">
        <x:f>IF(COUNTA(C51:H51)=0,"",IF(AND(C51&lt;&gt;"",COUNTIFS($C$44:$C$51,C51)=1,ISNUMBER(D51),D51&gt;=0,E51&lt;&gt;"",F51&lt;&gt;"",G51="Incluida aquí",H51="Completa"),D51,"No calculable"))</x:f>
      </x:c>
      <x:c r="J51" s="3"/>
      <x:c r="K51" s="3"/>
      <x:c r="L51" s="3"/>
      <x:c r="M51" s="3"/>
      <x:c r="N51" s="3"/>
    </x:row>
    <x:row r="52" ht="28" customHeight="1"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 ht="28" customHeight="1">
      <x:c r="C53" s="3" t="str">
        <x:v>Si no existen fijos pertinentes, documentar una partida de importe cero y su fundamento.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 ht="28" customHeight="1">
      <x:c r="C54" s="3" t="str">
        <x:v>Lotes, escalones y ajustes requieren descomposición y dominio en K12.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 ht="28" customHeight="1"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 ht="28" customHeight="1"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</x:sheetData>
  <x:conditionalFormatting sqref="D11:D15">
    <x:cfRule type="containsText" dxfId="0" priority="1" operator="containsText" text="Revisar"/>
    <x:cfRule type="containsText" dxfId="1" priority="2" operator="containsText" text="No calculable"/>
  </x:conditionalFormatting>
  <x:conditionalFormatting sqref="N26:N37">
    <x:cfRule type="containsText" dxfId="2" priority="3" operator="containsText" text="Revisar"/>
    <x:cfRule type="containsText" dxfId="3" priority="4" operator="containsText" text="No calculable"/>
  </x:conditionalFormatting>
  <x:dataValidations count="4">
    <x:dataValidation type="list" sqref="E7">
      <x:formula1>"Completa,Parcial"</x:formula1>
    </x:dataValidation>
    <x:dataValidation type="list" sqref="L26:L37">
      <x:formula1>"Completa,Parcial"</x:formula1>
    </x:dataValidation>
    <x:dataValidation type="list" sqref="G44:G51">
      <x:formula1>"Incluida aquí"</x:formula1>
    </x:dataValidation>
    <x:dataValidation type="list" sqref="H44:H51">
      <x:formula1>"Completa,Parcial"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2" hidden="0" customWidth="1"/>
    <x:col min="4" max="4" width="27" hidden="0" customWidth="1"/>
    <x:col min="5" max="5" width="30" hidden="0" customWidth="1"/>
    <x:col min="6" max="6" width="16" hidden="0" customWidth="1"/>
    <x:col min="7" max="7" width="28" hidden="0" customWidth="1"/>
    <x:col min="8" max="8" width="16" hidden="0" customWidth="1"/>
    <x:col min="1" max="1" width="2.5" hidden="0" customWidth="1"/>
    <x:col min="2" max="2" width="2.5" hidden="0" customWidth="1"/>
  </x:cols>
  <x:sheetData>
    <x:row r="2" ht="28" customHeight="1">
      <x:c r="C2" s="5" t="str">
        <x:v>Precio y equilibrio en un rango estable</x:v>
      </x:c>
      <x:c r="D2" s="5"/>
      <x:c r="E2" s="5"/>
      <x:c r="F2" s="5"/>
      <x:c r="G2" s="5"/>
      <x:c r="H2" s="5"/>
    </x:row>
    <x:row r="3" ht="28" customHeight="1">
      <x:c r="C3" s="6" t="str">
        <x:v>Go2Rev · Modelo general v0.1 · Entradas vacías</x:v>
      </x:c>
      <x:c r="D3" s="6"/>
      <x:c r="E3" s="6"/>
      <x:c r="F3" s="6"/>
      <x:c r="G3" s="6"/>
      <x:c r="H3" s="6"/>
    </x:row>
    <x:row r="4" ht="28" customHeight="1">
      <x:c r="C4" s="3"/>
      <x:c r="D4" s="3"/>
      <x:c r="E4" s="3"/>
      <x:c r="F4" s="3"/>
      <x:c r="G4" s="3"/>
      <x:c r="H4" s="3"/>
    </x:row>
    <x:row r="5" ht="28" customHeight="1">
      <x:c r="C5" s="3" t="str">
        <x:v>Unidad / rango / revisión</x:v>
      </x:c>
      <x:c r="D5" s="8"/>
      <x:c r="E5" s="3"/>
      <x:c r="F5" s="3" t="str">
        <x:v>Alcance definido en K12</x:v>
      </x:c>
      <x:c r="G5" s="3"/>
      <x:c r="H5" s="3"/>
    </x:row>
    <x:row r="6" ht="28" customHeight="1">
      <x:c r="C6" s="3" t="str">
        <x:v>Combinación</x:v>
      </x:c>
      <x:c r="D6" s="17" t="str">
        <x:f>IF('Economia'!E5="","",'Economia'!E5)</x:f>
      </x:c>
      <x:c r="E6" s="3"/>
      <x:c r="F6" s="3"/>
      <x:c r="G6" s="3"/>
      <x:c r="H6" s="3"/>
    </x:row>
    <x:row r="7" ht="42" customHeight="1">
      <x:c r="C7" s="13" t="str">
        <x:v>Parámetro</x:v>
      </x:c>
      <x:c r="D7" s="13" t="str">
        <x:v>Valor</x:v>
      </x:c>
      <x:c r="E7" s="13" t="str">
        <x:v>AF / campo / revisión</x:v>
      </x:c>
      <x:c r="F7" s="13" t="str">
        <x:v>Unidad</x:v>
      </x:c>
      <x:c r="G7" s="13" t="str">
        <x:v>Dominio</x:v>
      </x:c>
      <x:c r="H7" s="3"/>
    </x:row>
    <x:row r="8" ht="28" customHeight="1">
      <x:c r="C8" s="10" t="str">
        <x:v>Coste unitario sin porcentaje</x:v>
      </x:c>
      <x:c r="D8" s="9"/>
      <x:c r="E8" s="9"/>
      <x:c r="F8" s="10" t="str">
        <x:v>M / unidad</x:v>
      </x:c>
      <x:c r="G8" s="10" t="str">
        <x:v>No negativo</x:v>
      </x:c>
      <x:c r="H8" s="3"/>
    </x:row>
    <x:row r="9" ht="28" customHeight="1">
      <x:c r="C9" s="10" t="str">
        <x:v>Coste proporcional al precio</x:v>
      </x:c>
      <x:c r="D9" s="19"/>
      <x:c r="E9" s="9"/>
      <x:c r="F9" s="10" t="str">
        <x:v>Proporción</x:v>
      </x:c>
      <x:c r="G9" s="10" t="str">
        <x:v>Desde 0 hasta menos de 1</x:v>
      </x:c>
      <x:c r="H9" s="3"/>
    </x:row>
    <x:row r="10" ht="28" customHeight="1">
      <x:c r="C10" s="10" t="str">
        <x:v>Fijos pertinentes</x:v>
      </x:c>
      <x:c r="D10" s="9"/>
      <x:c r="E10" s="9"/>
      <x:c r="F10" s="10" t="str">
        <x:v>M / periodo</x:v>
      </x:c>
      <x:c r="G10" s="10" t="str">
        <x:v>No negativo</x:v>
      </x:c>
      <x:c r="H10" s="3"/>
    </x:row>
    <x:row r="11" ht="28" customHeight="1">
      <x:c r="C11" s="10" t="str">
        <x:v>Cantidad objetivo</x:v>
      </x:c>
      <x:c r="D11" s="9"/>
      <x:c r="E11" s="9"/>
      <x:c r="F11" s="10" t="str">
        <x:v>Unidades / periodo</x:v>
      </x:c>
      <x:c r="G11" s="10" t="str">
        <x:v>Positiva</x:v>
      </x:c>
      <x:c r="H11" s="3"/>
    </x:row>
    <x:row r="12" ht="28" customHeight="1">
      <x:c r="C12" s="10" t="str">
        <x:v>Resultado objetivo</x:v>
      </x:c>
      <x:c r="D12" s="9"/>
      <x:c r="E12" s="9"/>
      <x:c r="F12" s="10" t="str">
        <x:v>M / periodo</x:v>
      </x:c>
      <x:c r="G12" s="10" t="str">
        <x:v>No negativo</x:v>
      </x:c>
      <x:c r="H12" s="3"/>
    </x:row>
    <x:row r="13" ht="28" customHeight="1">
      <x:c r="C13" s="10" t="str">
        <x:v>Precio neto considerado</x:v>
      </x:c>
      <x:c r="D13" s="9"/>
      <x:c r="E13" s="9"/>
      <x:c r="F13" s="10" t="str">
        <x:v>M / unidad</x:v>
      </x:c>
      <x:c r="G13" s="10" t="str">
        <x:v>No negativo</x:v>
      </x:c>
      <x:c r="H13" s="3"/>
    </x:row>
    <x:row r="14" ht="28" customHeight="1">
      <x:c r="C14" s="10" t="str">
        <x:v>Precio de lista</x:v>
      </x:c>
      <x:c r="D14" s="9"/>
      <x:c r="E14" s="9"/>
      <x:c r="F14" s="10" t="str">
        <x:v>M / unidad</x:v>
      </x:c>
      <x:c r="G14" s="10" t="str">
        <x:v>Positivo</x:v>
      </x:c>
      <x:c r="H14" s="3"/>
    </x:row>
    <x:row r="15" ht="28" customHeight="1">
      <x:c r="C15" s="10" t="str">
        <x:v>Unidad indivisible</x:v>
      </x:c>
      <x:c r="D15" s="9"/>
      <x:c r="E15" s="9"/>
      <x:c r="F15" s="10" t="str">
        <x:v>Condición</x:v>
      </x:c>
      <x:c r="G15" s="10" t="str">
        <x:v>Sí o No</x:v>
      </x:c>
      <x:c r="H15" s="3"/>
    </x:row>
    <x:row r="16" ht="28" customHeight="1">
      <x:c r="C16" s="10" t="str">
        <x:v>Cobertura y rango estable</x:v>
      </x:c>
      <x:c r="D16" s="9"/>
      <x:c r="E16" s="9"/>
      <x:c r="F16" s="10" t="str">
        <x:v>Condición</x:v>
      </x:c>
      <x:c r="G16" s="10" t="str">
        <x:v>Completa o Parcial</x:v>
      </x:c>
      <x:c r="H16" s="3"/>
    </x:row>
    <x:row r="17" ht="28" customHeight="1">
      <x:c r="C17" s="3"/>
      <x:c r="D17" s="3"/>
      <x:c r="E17" s="3"/>
      <x:c r="F17" s="3"/>
      <x:c r="G17" s="3"/>
      <x:c r="H17" s="3"/>
    </x:row>
    <x:row r="18" ht="28" customHeight="1">
      <x:c r="C18" s="3"/>
      <x:c r="D18" s="3"/>
      <x:c r="E18" s="3"/>
      <x:c r="F18" s="3"/>
      <x:c r="G18" s="3"/>
      <x:c r="H18" s="3"/>
    </x:row>
    <x:row r="19" ht="42" customHeight="1">
      <x:c r="C19" s="13" t="str">
        <x:v>Relación</x:v>
      </x:c>
      <x:c r="D19" s="13" t="str">
        <x:v>Resultado</x:v>
      </x:c>
      <x:c r="E19" s="13" t="str">
        <x:v>Significado</x:v>
      </x:c>
      <x:c r="F19" s="3"/>
      <x:c r="G19" s="3"/>
      <x:c r="H19" s="3"/>
    </x:row>
    <x:row r="20" ht="38" customHeight="1">
      <x:c r="C20" s="10" t="str">
        <x:v>Precio para cubrir objetivo</x:v>
      </x:c>
      <x:c r="D20" s="16" t="str">
        <x:f>IF(AND(AND(D5&lt;&gt;"",D6&lt;&gt;"",D16="Completa",E16&lt;&gt;""),COUNTBLANK(E8:E12)=0,COUNT(D8:D12)=5,MIN(D8:D10)&gt;=0,D9&lt;1,D11&gt;0,D12&gt;=0),(D8+(D10+D12)/D11)/(1-D9),"No calculable")</x:f>
        <x:v>No calculable</x:v>
      </x:c>
      <x:c r="E20" s="10" t="str">
        <x:v>No acredita aceptación comercial</x:v>
      </x:c>
      <x:c r="F20" s="3"/>
      <x:c r="G20" s="3"/>
      <x:c r="H20" s="3"/>
    </x:row>
    <x:row r="21" ht="38" customHeight="1">
      <x:c r="C21" s="10" t="str">
        <x:v>Contribución al precio considerado</x:v>
      </x:c>
      <x:c r="D21" s="16" t="str">
        <x:f>IF(AND(AND(D5&lt;&gt;"",D6&lt;&gt;"",D16="Completa",E16&lt;&gt;""),E8&lt;&gt;"",E9&lt;&gt;"",COUNT(D8:D9)=2,D8&gt;=0,D9&gt;=0,D9&lt;1,ISNUMBER(D13),D13&gt;=0,E13&lt;&gt;""),D13*(1-D9)-D8,"No calculable")</x:f>
        <x:v>No calculable</x:v>
      </x:c>
      <x:c r="E21" s="10" t="str">
        <x:v>Coste proporcional incluido una vez</x:v>
      </x:c>
      <x:c r="F21" s="3"/>
      <x:c r="G21" s="3"/>
      <x:c r="H21" s="3"/>
    </x:row>
    <x:row r="22" ht="38" customHeight="1">
      <x:c r="C22" s="10" t="str">
        <x:v>Cantidad de equilibrio</x:v>
      </x:c>
      <x:c r="D22" s="16" t="str">
        <x:f>IF(AND(ISNUMBER(D21),ISNUMBER(D10),D10&gt;=0,E10&lt;&gt;"",E15&lt;&gt;"",OR(D15="Sí",D15="No")),IF(D21&gt;0,IF(D15="Sí",ROUNDUP(D10/D21,0),D10/D21),IF(AND(D21=0,D10=0),"Resultado cero en el rango","Sin equilibrio positivo")),"No calculable")</x:f>
        <x:v>No calculable</x:v>
      </x:c>
      <x:c r="E22" s="10" t="str">
        <x:v>Sujeto a capacidad y rango</x:v>
      </x:c>
      <x:c r="F22" s="3"/>
      <x:c r="G22" s="3"/>
      <x:c r="H22" s="3"/>
    </x:row>
    <x:row r="23" ht="38" customHeight="1">
      <x:c r="C23" s="10" t="str">
        <x:v>Descuento máximo sobre lista</x:v>
      </x:c>
      <x:c r="D23" s="20" t="str">
        <x:f>IF(AND(ISNUMBER(D20),ISNUMBER(D14),D14&gt;0,E14&lt;&gt;""),1-D20/D14,"No calculable")</x:f>
        <x:v>No calculable</x:v>
      </x:c>
      <x:c r="E23" s="10" t="str">
        <x:v>Negativo: lista insuficiente</x:v>
      </x:c>
      <x:c r="F23" s="3"/>
      <x:c r="G23" s="3"/>
      <x:c r="H23" s="3"/>
    </x:row>
    <x:row r="24" ht="28" customHeight="1">
      <x:c r="C24" s="3"/>
      <x:c r="D24" s="3"/>
      <x:c r="E24" s="3"/>
      <x:c r="F24" s="3"/>
      <x:c r="G24" s="3"/>
      <x:c r="H24" s="3"/>
    </x:row>
    <x:row r="25" ht="28" customHeight="1">
      <x:c r="C25" s="3"/>
      <x:c r="D25" s="3"/>
      <x:c r="E25" s="3"/>
      <x:c r="F25" s="3"/>
      <x:c r="G25" s="3"/>
      <x:c r="H25" s="3"/>
    </x:row>
    <x:row r="26" ht="28" customHeight="1">
      <x:c r="C26" s="3" t="str">
        <x:v>Bloque independiente para una unidad. Cada parámetro referencia K12 y la configuración.</x:v>
      </x:c>
      <x:c r="D26" s="3"/>
      <x:c r="E26" s="3"/>
      <x:c r="F26" s="3"/>
      <x:c r="G26" s="3"/>
      <x:c r="H26" s="3"/>
    </x:row>
    <x:row r="27" ht="28" customHeight="1">
      <x:c r="C27" s="3" t="str">
        <x:v>No aplica equilibrio simple a mezcla cambiante, lotes o escalones sin resolverlos.</x:v>
      </x:c>
      <x:c r="D27" s="3"/>
      <x:c r="E27" s="3"/>
      <x:c r="F27" s="3"/>
      <x:c r="G27" s="3"/>
      <x:c r="H27" s="3"/>
    </x:row>
    <x:row r="28" ht="28" customHeight="1">
      <x:c r="C28" s="3" t="str">
        <x:v>Una fórmula calculable no adopta precio ni autoriza descuento.</x:v>
      </x:c>
      <x:c r="D28" s="3"/>
      <x:c r="E28" s="3"/>
      <x:c r="F28" s="3"/>
      <x:c r="G28" s="3"/>
      <x:c r="H28" s="3"/>
    </x:row>
    <x:row r="29" ht="28" customHeight="1">
      <x:c r="C29" s="3"/>
      <x:c r="D29" s="3"/>
      <x:c r="E29" s="3"/>
      <x:c r="F29" s="3"/>
      <x:c r="G29" s="3"/>
      <x:c r="H29" s="3"/>
    </x:row>
    <x:row r="30" ht="28" customHeight="1">
      <x:c r="C30" s="3"/>
      <x:c r="D30" s="3"/>
      <x:c r="E30" s="3"/>
      <x:c r="F30" s="3"/>
      <x:c r="G30" s="3"/>
      <x:c r="H30" s="3"/>
    </x:row>
    <x:row r="31" ht="28" customHeight="1">
      <x:c r="C31" s="3"/>
      <x:c r="D31" s="3"/>
      <x:c r="E31" s="3"/>
      <x:c r="F31" s="3"/>
      <x:c r="G31" s="3"/>
      <x:c r="H31" s="3"/>
    </x:row>
  </x:sheetData>
  <x:conditionalFormatting sqref="D20:D23">
    <x:cfRule type="containsText" dxfId="4" priority="1" operator="containsText" text="Revisar"/>
    <x:cfRule type="containsText" dxfId="5" priority="2" operator="containsText" text="No calculable"/>
  </x:conditionalFormatting>
  <x:dataValidations count="2">
    <x:dataValidation type="list" sqref="D15">
      <x:formula1>"Sí,No"</x:formula1>
    </x:dataValidation>
    <x:dataValidation type="list" sqref="D16">
      <x:formula1>"Completa,Parcial"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2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23" hidden="0" customWidth="1"/>
    <x:col min="10" max="10" width="23" hidden="0" customWidth="1"/>
    <x:col min="11" max="11" width="23" hidden="0" customWidth="1"/>
    <x:col min="12" max="12" width="24" hidden="0" customWidth="1"/>
    <x:col min="13" max="13" width="24" hidden="0" customWidth="1"/>
    <x:col min="14" max="14" width="24" hidden="0" customWidth="1"/>
    <x:col min="1" max="1" width="2.5" hidden="0" customWidth="1"/>
    <x:col min="2" max="2" width="2.5" hidden="0" customWidth="1"/>
  </x:cols>
  <x:sheetData>
    <x:row r="2" ht="28" customHeight="1">
      <x:c r="C2" s="5" t="str">
        <x:v>Carga por recurso y mezcla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8" customHeight="1">
      <x:c r="C3" s="6" t="str">
        <x:v>Go2Rev · Modelo general v0.1 · Entradas vacías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8" customHeight="1"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8" customHeight="1">
      <x:c r="C5" s="3" t="str">
        <x:v>Combinación</x:v>
      </x:c>
      <x:c r="D5" s="3"/>
      <x:c r="E5" s="17" t="str">
        <x:f>IF('Economia'!E5="","",'Economia'!E5)</x:f>
      </x:c>
      <x:c r="F5" s="3"/>
      <x:c r="G5" s="3" t="str">
        <x:v>Periodo</x:v>
      </x:c>
      <x:c r="H5" s="3"/>
      <x:c r="I5" s="17" t="str">
        <x:f>IF('Economia'!E6="","",'Economia'!E6)</x:f>
      </x:c>
      <x:c r="J5" s="3"/>
      <x:c r="K5" s="3"/>
      <x:c r="L5" s="3"/>
      <x:c r="M5" s="3"/>
      <x:c r="N5" s="3"/>
    </x:row>
    <x:row r="6" ht="28" customHeight="1">
      <x:c r="C6" s="3" t="str">
        <x:v>Cobertura de recursos</x:v>
      </x:c>
      <x:c r="D6" s="3"/>
      <x:c r="E6" s="8"/>
      <x:c r="F6" s="3"/>
      <x:c r="G6" s="3" t="str">
        <x:v>Incluye todos los recursos indispensables y tareas pertinentes.</x:v>
      </x:c>
      <x:c r="H6" s="3"/>
      <x:c r="I6" s="3"/>
      <x:c r="J6" s="3"/>
      <x:c r="K6" s="3"/>
      <x:c r="L6" s="3"/>
      <x:c r="M6" s="3"/>
      <x:c r="N6" s="3"/>
    </x:row>
    <x:row r="7" ht="28" customHeight="1"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ht="38" customHeight="1">
      <x:c r="C8" s="3" t="str">
        <x:v>Factibilidad agregada</x:v>
      </x:c>
      <x:c r="D8" s="3"/>
      <x:c r="E8" s="16" t="str">
        <x:f>IF(AND(E5&lt;&gt;"",I5&lt;&gt;""),IF(COUNTIFS(I14:I21,"&lt;0")&gt;0,"Incompatible con recurso conocido",IF(AND(E6="Completa",COUNTA(C14:C21)&gt;0,COUNT(I14:I21)=COUNTA(C14:C21),COUNTIFS(N14:N21,"Revisar identificación")=0,COUNTIFS(K27:K58,"Revisar entradas")=0),"Cabe en el periodo modelado","No calculable")),"No calculable")</x:f>
        <x:v>No calculable</x:v>
      </x:c>
      <x:c r="F8" s="10"/>
      <x:c r="G8" s="3"/>
      <x:c r="H8" s="3"/>
      <x:c r="I8" s="3"/>
      <x:c r="J8" s="3"/>
      <x:c r="K8" s="3"/>
      <x:c r="L8" s="3"/>
      <x:c r="M8" s="3"/>
      <x:c r="N8" s="3"/>
    </x:row>
    <x:row r="9" ht="38" customHeight="1">
      <x:c r="C9" s="3" t="str">
        <x:v>Factor de escala de la mezcla</x:v>
      </x:c>
      <x:c r="D9" s="3"/>
      <x:c r="E9" s="16" t="str">
        <x:f>IF(AND(E8="Cabe en el periodo modelado",COUNT(J14:J21)&gt;0),MIN(J14:J21),"No calculable")</x:f>
        <x:v>No calculable</x:v>
      </x:c>
      <x:c r="F9" s="10"/>
      <x:c r="G9" s="3" t="str">
        <x:v>Solo carga lineal y preparación fija; no resuelve agenda ni demanda.</x:v>
      </x:c>
      <x:c r="H9" s="3"/>
      <x:c r="I9" s="3"/>
      <x:c r="J9" s="3"/>
      <x:c r="K9" s="3"/>
      <x:c r="L9" s="3"/>
      <x:c r="M9" s="3"/>
      <x:c r="N9" s="3"/>
    </x:row>
    <x:row r="10" ht="28" customHeight="1"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 ht="28" customHeight="1"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 ht="28" customHeight="1"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 ht="42" customHeight="1">
      <x:c r="C13" s="13" t="str">
        <x:v>Recurso / ID único</x:v>
      </x:c>
      <x:c r="D13" s="13" t="str">
        <x:v>Disponible total</x:v>
      </x:c>
      <x:c r="E13" s="13" t="str">
        <x:v>Otros compromisos</x:v>
      </x:c>
      <x:c r="F13" s="13" t="str">
        <x:v>Carga propia fija</x:v>
      </x:c>
      <x:c r="G13" s="13" t="str">
        <x:v>Carga variable</x:v>
      </x:c>
      <x:c r="H13" s="13" t="str">
        <x:v>Carga total propia</x:v>
      </x:c>
      <x:c r="I13" s="13" t="str">
        <x:v>Holgura</x:v>
      </x:c>
      <x:c r="J13" s="13" t="str">
        <x:v>Factor de escala</x:v>
      </x:c>
      <x:c r="K13" s="13" t="str">
        <x:v>Unidad recurso</x:v>
      </x:c>
      <x:c r="L13" s="13" t="str">
        <x:v>AF / revisión</x:v>
      </x:c>
      <x:c r="M13" s="13" t="str">
        <x:v>Cobertura recurso</x:v>
      </x:c>
      <x:c r="N13" s="13" t="str">
        <x:v>Estado de fila</x:v>
      </x:c>
    </x:row>
    <x:row r="14" ht="28" customHeight="1">
      <x:c r="C14" s="8"/>
      <x:c r="D14" s="8"/>
      <x:c r="E14" s="8"/>
      <x:c r="F14" s="8"/>
      <x:c r="G14" s="14" t="str">
        <x:f>IF(COUNTA(C14:F14,K14:M14)=0,"",IF(AND(AND(C14&lt;&gt;"",COUNTIFS($C$14:$C$21,C14)=1,K14&lt;&gt;"",L14&lt;&gt;""),M14="Completa",COUNTIFS($C$27:$C$58,C14)=COUNTIFS($C$27:$C$58,C14,$K$27:$K$58,"Calculable")),SUMIFS($H$27:$H$58,$C$27:$C$58,C14),"No calculable"))</x:f>
      </x:c>
      <x:c r="H14" s="14" t="str">
        <x:f>IF(COUNTA(C14:F14,K14:M14)=0,"",IF(AND(ISNUMBER(F14),F14&gt;=0,ISNUMBER(G14)),F14+G14,"No calculable"))</x:f>
      </x:c>
      <x:c r="I14" s="14" t="str">
        <x:f>IF(COUNTA(C14:F14,K14:M14)=0,"",IF(AND(COUNT(D14:E14)=2,MIN(D14:E14)&gt;=0,ISNUMBER(H14)),D14-E14-H14,"No calculable"))</x:f>
      </x:c>
      <x:c r="J14" s="14" t="str">
        <x:f>IF(COUNTA(C14:F14,K14:M14)=0,"",IF(AND(ISNUMBER(I14),ISNUMBER(G14)),IF(G14&gt;0,(D14-E14-F14)/G14,"Sin carga variable"),"No calculable"))</x:f>
      </x:c>
      <x:c r="K14" s="8"/>
      <x:c r="L14" s="9"/>
      <x:c r="M14" s="9"/>
      <x:c r="N14" s="16" t="str">
        <x:f>IF(COUNTA(C14:F14,K14:M14)=0,"",IF(NOT(AND(C14&lt;&gt;"",COUNTIFS($C$14:$C$21,C14)=1,K14&lt;&gt;"",L14&lt;&gt;"")),"Revisar identificación",IF(ISNUMBER(I14),"Calculable","Revisar entradas")))</x:f>
      </x:c>
    </x:row>
    <x:row r="15" ht="28" customHeight="1">
      <x:c r="C15" s="8"/>
      <x:c r="D15" s="8"/>
      <x:c r="E15" s="8"/>
      <x:c r="F15" s="8"/>
      <x:c r="G15" s="14" t="str">
        <x:f>IF(COUNTA(C15:F15,K15:M15)=0,"",IF(AND(AND(C15&lt;&gt;"",COUNTIFS($C$14:$C$21,C15)=1,K15&lt;&gt;"",L15&lt;&gt;""),M15="Completa",COUNTIFS($C$27:$C$58,C15)=COUNTIFS($C$27:$C$58,C15,$K$27:$K$58,"Calculable")),SUMIFS($H$27:$H$58,$C$27:$C$58,C15),"No calculable"))</x:f>
      </x:c>
      <x:c r="H15" s="14" t="str">
        <x:f>IF(COUNTA(C15:F15,K15:M15)=0,"",IF(AND(ISNUMBER(F15),F15&gt;=0,ISNUMBER(G15)),F15+G15,"No calculable"))</x:f>
      </x:c>
      <x:c r="I15" s="14" t="str">
        <x:f>IF(COUNTA(C15:F15,K15:M15)=0,"",IF(AND(COUNT(D15:E15)=2,MIN(D15:E15)&gt;=0,ISNUMBER(H15)),D15-E15-H15,"No calculable"))</x:f>
      </x:c>
      <x:c r="J15" s="14" t="str">
        <x:f>IF(COUNTA(C15:F15,K15:M15)=0,"",IF(AND(ISNUMBER(I15),ISNUMBER(G15)),IF(G15&gt;0,(D15-E15-F15)/G15,"Sin carga variable"),"No calculable"))</x:f>
      </x:c>
      <x:c r="K15" s="8"/>
      <x:c r="L15" s="9"/>
      <x:c r="M15" s="9"/>
      <x:c r="N15" s="16" t="str">
        <x:f>IF(COUNTA(C15:F15,K15:M15)=0,"",IF(NOT(AND(C15&lt;&gt;"",COUNTIFS($C$14:$C$21,C15)=1,K15&lt;&gt;"",L15&lt;&gt;"")),"Revisar identificación",IF(ISNUMBER(I15),"Calculable","Revisar entradas")))</x:f>
      </x:c>
    </x:row>
    <x:row r="16" ht="28" customHeight="1">
      <x:c r="C16" s="8"/>
      <x:c r="D16" s="8"/>
      <x:c r="E16" s="8"/>
      <x:c r="F16" s="8"/>
      <x:c r="G16" s="14" t="str">
        <x:f>IF(COUNTA(C16:F16,K16:M16)=0,"",IF(AND(AND(C16&lt;&gt;"",COUNTIFS($C$14:$C$21,C16)=1,K16&lt;&gt;"",L16&lt;&gt;""),M16="Completa",COUNTIFS($C$27:$C$58,C16)=COUNTIFS($C$27:$C$58,C16,$K$27:$K$58,"Calculable")),SUMIFS($H$27:$H$58,$C$27:$C$58,C16),"No calculable"))</x:f>
      </x:c>
      <x:c r="H16" s="14" t="str">
        <x:f>IF(COUNTA(C16:F16,K16:M16)=0,"",IF(AND(ISNUMBER(F16),F16&gt;=0,ISNUMBER(G16)),F16+G16,"No calculable"))</x:f>
      </x:c>
      <x:c r="I16" s="14" t="str">
        <x:f>IF(COUNTA(C16:F16,K16:M16)=0,"",IF(AND(COUNT(D16:E16)=2,MIN(D16:E16)&gt;=0,ISNUMBER(H16)),D16-E16-H16,"No calculable"))</x:f>
      </x:c>
      <x:c r="J16" s="14" t="str">
        <x:f>IF(COUNTA(C16:F16,K16:M16)=0,"",IF(AND(ISNUMBER(I16),ISNUMBER(G16)),IF(G16&gt;0,(D16-E16-F16)/G16,"Sin carga variable"),"No calculable"))</x:f>
      </x:c>
      <x:c r="K16" s="8"/>
      <x:c r="L16" s="9"/>
      <x:c r="M16" s="9"/>
      <x:c r="N16" s="16" t="str">
        <x:f>IF(COUNTA(C16:F16,K16:M16)=0,"",IF(NOT(AND(C16&lt;&gt;"",COUNTIFS($C$14:$C$21,C16)=1,K16&lt;&gt;"",L16&lt;&gt;"")),"Revisar identificación",IF(ISNUMBER(I16),"Calculable","Revisar entradas")))</x:f>
      </x:c>
    </x:row>
    <x:row r="17" ht="28" customHeight="1">
      <x:c r="C17" s="8"/>
      <x:c r="D17" s="8"/>
      <x:c r="E17" s="8"/>
      <x:c r="F17" s="8"/>
      <x:c r="G17" s="14" t="str">
        <x:f>IF(COUNTA(C17:F17,K17:M17)=0,"",IF(AND(AND(C17&lt;&gt;"",COUNTIFS($C$14:$C$21,C17)=1,K17&lt;&gt;"",L17&lt;&gt;""),M17="Completa",COUNTIFS($C$27:$C$58,C17)=COUNTIFS($C$27:$C$58,C17,$K$27:$K$58,"Calculable")),SUMIFS($H$27:$H$58,$C$27:$C$58,C17),"No calculable"))</x:f>
      </x:c>
      <x:c r="H17" s="14" t="str">
        <x:f>IF(COUNTA(C17:F17,K17:M17)=0,"",IF(AND(ISNUMBER(F17),F17&gt;=0,ISNUMBER(G17)),F17+G17,"No calculable"))</x:f>
      </x:c>
      <x:c r="I17" s="14" t="str">
        <x:f>IF(COUNTA(C17:F17,K17:M17)=0,"",IF(AND(COUNT(D17:E17)=2,MIN(D17:E17)&gt;=0,ISNUMBER(H17)),D17-E17-H17,"No calculable"))</x:f>
      </x:c>
      <x:c r="J17" s="14" t="str">
        <x:f>IF(COUNTA(C17:F17,K17:M17)=0,"",IF(AND(ISNUMBER(I17),ISNUMBER(G17)),IF(G17&gt;0,(D17-E17-F17)/G17,"Sin carga variable"),"No calculable"))</x:f>
      </x:c>
      <x:c r="K17" s="8"/>
      <x:c r="L17" s="9"/>
      <x:c r="M17" s="9"/>
      <x:c r="N17" s="16" t="str">
        <x:f>IF(COUNTA(C17:F17,K17:M17)=0,"",IF(NOT(AND(C17&lt;&gt;"",COUNTIFS($C$14:$C$21,C17)=1,K17&lt;&gt;"",L17&lt;&gt;"")),"Revisar identificación",IF(ISNUMBER(I17),"Calculable","Revisar entradas")))</x:f>
      </x:c>
    </x:row>
    <x:row r="18" ht="28" customHeight="1">
      <x:c r="C18" s="8"/>
      <x:c r="D18" s="8"/>
      <x:c r="E18" s="8"/>
      <x:c r="F18" s="8"/>
      <x:c r="G18" s="14" t="str">
        <x:f>IF(COUNTA(C18:F18,K18:M18)=0,"",IF(AND(AND(C18&lt;&gt;"",COUNTIFS($C$14:$C$21,C18)=1,K18&lt;&gt;"",L18&lt;&gt;""),M18="Completa",COUNTIFS($C$27:$C$58,C18)=COUNTIFS($C$27:$C$58,C18,$K$27:$K$58,"Calculable")),SUMIFS($H$27:$H$58,$C$27:$C$58,C18),"No calculable"))</x:f>
      </x:c>
      <x:c r="H18" s="14" t="str">
        <x:f>IF(COUNTA(C18:F18,K18:M18)=0,"",IF(AND(ISNUMBER(F18),F18&gt;=0,ISNUMBER(G18)),F18+G18,"No calculable"))</x:f>
      </x:c>
      <x:c r="I18" s="14" t="str">
        <x:f>IF(COUNTA(C18:F18,K18:M18)=0,"",IF(AND(COUNT(D18:E18)=2,MIN(D18:E18)&gt;=0,ISNUMBER(H18)),D18-E18-H18,"No calculable"))</x:f>
      </x:c>
      <x:c r="J18" s="14" t="str">
        <x:f>IF(COUNTA(C18:F18,K18:M18)=0,"",IF(AND(ISNUMBER(I18),ISNUMBER(G18)),IF(G18&gt;0,(D18-E18-F18)/G18,"Sin carga variable"),"No calculable"))</x:f>
      </x:c>
      <x:c r="K18" s="8"/>
      <x:c r="L18" s="9"/>
      <x:c r="M18" s="9"/>
      <x:c r="N18" s="16" t="str">
        <x:f>IF(COUNTA(C18:F18,K18:M18)=0,"",IF(NOT(AND(C18&lt;&gt;"",COUNTIFS($C$14:$C$21,C18)=1,K18&lt;&gt;"",L18&lt;&gt;"")),"Revisar identificación",IF(ISNUMBER(I18),"Calculable","Revisar entradas")))</x:f>
      </x:c>
    </x:row>
    <x:row r="19" ht="28" customHeight="1">
      <x:c r="C19" s="8"/>
      <x:c r="D19" s="8"/>
      <x:c r="E19" s="8"/>
      <x:c r="F19" s="8"/>
      <x:c r="G19" s="14" t="str">
        <x:f>IF(COUNTA(C19:F19,K19:M19)=0,"",IF(AND(AND(C19&lt;&gt;"",COUNTIFS($C$14:$C$21,C19)=1,K19&lt;&gt;"",L19&lt;&gt;""),M19="Completa",COUNTIFS($C$27:$C$58,C19)=COUNTIFS($C$27:$C$58,C19,$K$27:$K$58,"Calculable")),SUMIFS($H$27:$H$58,$C$27:$C$58,C19),"No calculable"))</x:f>
      </x:c>
      <x:c r="H19" s="14" t="str">
        <x:f>IF(COUNTA(C19:F19,K19:M19)=0,"",IF(AND(ISNUMBER(F19),F19&gt;=0,ISNUMBER(G19)),F19+G19,"No calculable"))</x:f>
      </x:c>
      <x:c r="I19" s="14" t="str">
        <x:f>IF(COUNTA(C19:F19,K19:M19)=0,"",IF(AND(COUNT(D19:E19)=2,MIN(D19:E19)&gt;=0,ISNUMBER(H19)),D19-E19-H19,"No calculable"))</x:f>
      </x:c>
      <x:c r="J19" s="14" t="str">
        <x:f>IF(COUNTA(C19:F19,K19:M19)=0,"",IF(AND(ISNUMBER(I19),ISNUMBER(G19)),IF(G19&gt;0,(D19-E19-F19)/G19,"Sin carga variable"),"No calculable"))</x:f>
      </x:c>
      <x:c r="K19" s="8"/>
      <x:c r="L19" s="9"/>
      <x:c r="M19" s="9"/>
      <x:c r="N19" s="16" t="str">
        <x:f>IF(COUNTA(C19:F19,K19:M19)=0,"",IF(NOT(AND(C19&lt;&gt;"",COUNTIFS($C$14:$C$21,C19)=1,K19&lt;&gt;"",L19&lt;&gt;"")),"Revisar identificación",IF(ISNUMBER(I19),"Calculable","Revisar entradas")))</x:f>
      </x:c>
    </x:row>
    <x:row r="20" ht="28" customHeight="1">
      <x:c r="C20" s="8"/>
      <x:c r="D20" s="8"/>
      <x:c r="E20" s="8"/>
      <x:c r="F20" s="8"/>
      <x:c r="G20" s="14" t="str">
        <x:f>IF(COUNTA(C20:F20,K20:M20)=0,"",IF(AND(AND(C20&lt;&gt;"",COUNTIFS($C$14:$C$21,C20)=1,K20&lt;&gt;"",L20&lt;&gt;""),M20="Completa",COUNTIFS($C$27:$C$58,C20)=COUNTIFS($C$27:$C$58,C20,$K$27:$K$58,"Calculable")),SUMIFS($H$27:$H$58,$C$27:$C$58,C20),"No calculable"))</x:f>
      </x:c>
      <x:c r="H20" s="14" t="str">
        <x:f>IF(COUNTA(C20:F20,K20:M20)=0,"",IF(AND(ISNUMBER(F20),F20&gt;=0,ISNUMBER(G20)),F20+G20,"No calculable"))</x:f>
      </x:c>
      <x:c r="I20" s="14" t="str">
        <x:f>IF(COUNTA(C20:F20,K20:M20)=0,"",IF(AND(COUNT(D20:E20)=2,MIN(D20:E20)&gt;=0,ISNUMBER(H20)),D20-E20-H20,"No calculable"))</x:f>
      </x:c>
      <x:c r="J20" s="14" t="str">
        <x:f>IF(COUNTA(C20:F20,K20:M20)=0,"",IF(AND(ISNUMBER(I20),ISNUMBER(G20)),IF(G20&gt;0,(D20-E20-F20)/G20,"Sin carga variable"),"No calculable"))</x:f>
      </x:c>
      <x:c r="K20" s="8"/>
      <x:c r="L20" s="9"/>
      <x:c r="M20" s="9"/>
      <x:c r="N20" s="16" t="str">
        <x:f>IF(COUNTA(C20:F20,K20:M20)=0,"",IF(NOT(AND(C20&lt;&gt;"",COUNTIFS($C$14:$C$21,C20)=1,K20&lt;&gt;"",L20&lt;&gt;"")),"Revisar identificación",IF(ISNUMBER(I20),"Calculable","Revisar entradas")))</x:f>
      </x:c>
    </x:row>
    <x:row r="21" ht="28" customHeight="1">
      <x:c r="C21" s="8"/>
      <x:c r="D21" s="8"/>
      <x:c r="E21" s="8"/>
      <x:c r="F21" s="8"/>
      <x:c r="G21" s="14" t="str">
        <x:f>IF(COUNTA(C21:F21,K21:M21)=0,"",IF(AND(AND(C21&lt;&gt;"",COUNTIFS($C$14:$C$21,C21)=1,K21&lt;&gt;"",L21&lt;&gt;""),M21="Completa",COUNTIFS($C$27:$C$58,C21)=COUNTIFS($C$27:$C$58,C21,$K$27:$K$58,"Calculable")),SUMIFS($H$27:$H$58,$C$27:$C$58,C21),"No calculable"))</x:f>
      </x:c>
      <x:c r="H21" s="14" t="str">
        <x:f>IF(COUNTA(C21:F21,K21:M21)=0,"",IF(AND(ISNUMBER(F21),F21&gt;=0,ISNUMBER(G21)),F21+G21,"No calculable"))</x:f>
      </x:c>
      <x:c r="I21" s="14" t="str">
        <x:f>IF(COUNTA(C21:F21,K21:M21)=0,"",IF(AND(COUNT(D21:E21)=2,MIN(D21:E21)&gt;=0,ISNUMBER(H21)),D21-E21-H21,"No calculable"))</x:f>
      </x:c>
      <x:c r="J21" s="14" t="str">
        <x:f>IF(COUNTA(C21:F21,K21:M21)=0,"",IF(AND(ISNUMBER(I21),ISNUMBER(G21)),IF(G21&gt;0,(D21-E21-F21)/G21,"Sin carga variable"),"No calculable"))</x:f>
      </x:c>
      <x:c r="K21" s="8"/>
      <x:c r="L21" s="9"/>
      <x:c r="M21" s="9"/>
      <x:c r="N21" s="16" t="str">
        <x:f>IF(COUNTA(C21:F21,K21:M21)=0,"",IF(NOT(AND(C21&lt;&gt;"",COUNTIFS($C$14:$C$21,C21)=1,K21&lt;&gt;"",L21&lt;&gt;"")),"Revisar identificación",IF(ISNUMBER(I21),"Calculable","Revisar entradas")))</x:f>
      </x:c>
    </x:row>
    <x:row r="22" ht="28" customHeight="1"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 ht="28" customHeight="1"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28" customHeight="1"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28" customHeight="1"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42" customHeight="1">
      <x:c r="C26" s="13" t="str">
        <x:v>Recurso / ID</x:v>
      </x:c>
      <x:c r="D26" s="13" t="str">
        <x:v>Oferta / ID</x:v>
      </x:c>
      <x:c r="E26" s="13" t="str">
        <x:v>Cantidad reconocida</x:v>
      </x:c>
      <x:c r="F26" s="13" t="str">
        <x:v>Conversión a unidad de trabajo</x:v>
      </x:c>
      <x:c r="G26" s="13" t="str">
        <x:v>Recurso por unidad de trabajo</x:v>
      </x:c>
      <x:c r="H26" s="13" t="str">
        <x:v>Carga</x:v>
      </x:c>
      <x:c r="I26" s="13" t="str">
        <x:v>AF por entrada / transformación</x:v>
      </x:c>
      <x:c r="J26" s="13" t="str">
        <x:v>Cobertura tarea</x:v>
      </x:c>
      <x:c r="K26" s="13" t="str">
        <x:v>Estado de fila</x:v>
      </x:c>
      <x:c r="L26" s="3"/>
      <x:c r="M26" s="3"/>
      <x:c r="N26" s="3"/>
    </x:row>
    <x:row r="27" ht="28" customHeight="1">
      <x:c r="C27" s="8"/>
      <x:c r="D27" s="8"/>
      <x:c r="E27" s="17" t="str">
        <x:f>IF(COUNTA(C27:D27,F27:G27,I27:J27)=0,"",IF(AND(C27&lt;&gt;"",D27&lt;&gt;"",COUNTIFS($C$14:$C$21,C27)=1,COUNTIFS('Economia'!$C$26:$C$37,D27)=1),IF(INDEX('Economia'!$E$26:$E$37,MATCH(D27,'Economia'!$C$26:$C$37,0))="","No calculable",IF(ISNUMBER(INDEX('Economia'!$E$26:$E$37,MATCH(D27,'Economia'!$C$26:$C$37,0))),INDEX('Economia'!$E$26:$E$37,MATCH(D27,'Economia'!$C$26:$C$37,0)),"No calculable")),"No calculable"))</x:f>
      </x:c>
      <x:c r="F27" s="8"/>
      <x:c r="G27" s="8"/>
      <x:c r="H27" s="14" t="str">
        <x:f>IF(COUNTA(C27:D27,F27:G27,I27:J27)=0,"",IF(AND(COUNT(E27:G27)=3,MIN(E27:G27)&gt;=0,I27&lt;&gt;"",J27="Completa"),PRODUCT(E27:G27),"No calculable"))</x:f>
      </x:c>
      <x:c r="I27" s="9"/>
      <x:c r="J27" s="9"/>
      <x:c r="K27" s="21" t="str">
        <x:f>IF(COUNTA(C27:D27,F27:G27,I27:J27)=0,"",IF(AND(AND(C27&lt;&gt;"",D27&lt;&gt;"",COUNTIFS($C$14:$C$21,C27)=1,COUNTIFS('Economia'!$C$26:$C$37,D27)=1),ISNUMBER(H27)),"Calculable","Revisar entradas"))</x:f>
      </x:c>
      <x:c r="L27" s="3"/>
      <x:c r="M27" s="3"/>
      <x:c r="N27" s="3"/>
    </x:row>
    <x:row r="28" ht="28" customHeight="1">
      <x:c r="C28" s="8"/>
      <x:c r="D28" s="8"/>
      <x:c r="E28" s="17" t="str">
        <x:f>IF(COUNTA(C28:D28,F28:G28,I28:J28)=0,"",IF(AND(C28&lt;&gt;"",D28&lt;&gt;"",COUNTIFS($C$14:$C$21,C28)=1,COUNTIFS('Economia'!$C$26:$C$37,D28)=1),IF(INDEX('Economia'!$E$26:$E$37,MATCH(D28,'Economia'!$C$26:$C$37,0))="","No calculable",IF(ISNUMBER(INDEX('Economia'!$E$26:$E$37,MATCH(D28,'Economia'!$C$26:$C$37,0))),INDEX('Economia'!$E$26:$E$37,MATCH(D28,'Economia'!$C$26:$C$37,0)),"No calculable")),"No calculable"))</x:f>
      </x:c>
      <x:c r="F28" s="8"/>
      <x:c r="G28" s="8"/>
      <x:c r="H28" s="14" t="str">
        <x:f>IF(COUNTA(C28:D28,F28:G28,I28:J28)=0,"",IF(AND(COUNT(E28:G28)=3,MIN(E28:G28)&gt;=0,I28&lt;&gt;"",J28="Completa"),PRODUCT(E28:G28),"No calculable"))</x:f>
      </x:c>
      <x:c r="I28" s="9"/>
      <x:c r="J28" s="9"/>
      <x:c r="K28" s="21" t="str">
        <x:f>IF(COUNTA(C28:D28,F28:G28,I28:J28)=0,"",IF(AND(AND(C28&lt;&gt;"",D28&lt;&gt;"",COUNTIFS($C$14:$C$21,C28)=1,COUNTIFS('Economia'!$C$26:$C$37,D28)=1),ISNUMBER(H28)),"Calculable","Revisar entradas"))</x:f>
      </x:c>
      <x:c r="L28" s="3"/>
      <x:c r="M28" s="3"/>
      <x:c r="N28" s="3"/>
    </x:row>
    <x:row r="29" ht="28" customHeight="1">
      <x:c r="C29" s="8"/>
      <x:c r="D29" s="8"/>
      <x:c r="E29" s="17" t="str">
        <x:f>IF(COUNTA(C29:D29,F29:G29,I29:J29)=0,"",IF(AND(C29&lt;&gt;"",D29&lt;&gt;"",COUNTIFS($C$14:$C$21,C29)=1,COUNTIFS('Economia'!$C$26:$C$37,D29)=1),IF(INDEX('Economia'!$E$26:$E$37,MATCH(D29,'Economia'!$C$26:$C$37,0))="","No calculable",IF(ISNUMBER(INDEX('Economia'!$E$26:$E$37,MATCH(D29,'Economia'!$C$26:$C$37,0))),INDEX('Economia'!$E$26:$E$37,MATCH(D29,'Economia'!$C$26:$C$37,0)),"No calculable")),"No calculable"))</x:f>
      </x:c>
      <x:c r="F29" s="8"/>
      <x:c r="G29" s="8"/>
      <x:c r="H29" s="14" t="str">
        <x:f>IF(COUNTA(C29:D29,F29:G29,I29:J29)=0,"",IF(AND(COUNT(E29:G29)=3,MIN(E29:G29)&gt;=0,I29&lt;&gt;"",J29="Completa"),PRODUCT(E29:G29),"No calculable"))</x:f>
      </x:c>
      <x:c r="I29" s="9"/>
      <x:c r="J29" s="9"/>
      <x:c r="K29" s="21" t="str">
        <x:f>IF(COUNTA(C29:D29,F29:G29,I29:J29)=0,"",IF(AND(AND(C29&lt;&gt;"",D29&lt;&gt;"",COUNTIFS($C$14:$C$21,C29)=1,COUNTIFS('Economia'!$C$26:$C$37,D29)=1),ISNUMBER(H29)),"Calculable","Revisar entradas"))</x:f>
      </x:c>
      <x:c r="L29" s="3"/>
      <x:c r="M29" s="3"/>
      <x:c r="N29" s="3"/>
    </x:row>
    <x:row r="30" ht="28" customHeight="1">
      <x:c r="C30" s="8"/>
      <x:c r="D30" s="8"/>
      <x:c r="E30" s="17" t="str">
        <x:f>IF(COUNTA(C30:D30,F30:G30,I30:J30)=0,"",IF(AND(C30&lt;&gt;"",D30&lt;&gt;"",COUNTIFS($C$14:$C$21,C30)=1,COUNTIFS('Economia'!$C$26:$C$37,D30)=1),IF(INDEX('Economia'!$E$26:$E$37,MATCH(D30,'Economia'!$C$26:$C$37,0))="","No calculable",IF(ISNUMBER(INDEX('Economia'!$E$26:$E$37,MATCH(D30,'Economia'!$C$26:$C$37,0))),INDEX('Economia'!$E$26:$E$37,MATCH(D30,'Economia'!$C$26:$C$37,0)),"No calculable")),"No calculable"))</x:f>
      </x:c>
      <x:c r="F30" s="8"/>
      <x:c r="G30" s="8"/>
      <x:c r="H30" s="14" t="str">
        <x:f>IF(COUNTA(C30:D30,F30:G30,I30:J30)=0,"",IF(AND(COUNT(E30:G30)=3,MIN(E30:G30)&gt;=0,I30&lt;&gt;"",J30="Completa"),PRODUCT(E30:G30),"No calculable"))</x:f>
      </x:c>
      <x:c r="I30" s="9"/>
      <x:c r="J30" s="9"/>
      <x:c r="K30" s="21" t="str">
        <x:f>IF(COUNTA(C30:D30,F30:G30,I30:J30)=0,"",IF(AND(AND(C30&lt;&gt;"",D30&lt;&gt;"",COUNTIFS($C$14:$C$21,C30)=1,COUNTIFS('Economia'!$C$26:$C$37,D30)=1),ISNUMBER(H30)),"Calculable","Revisar entradas"))</x:f>
      </x:c>
      <x:c r="L30" s="3"/>
      <x:c r="M30" s="3"/>
      <x:c r="N30" s="3"/>
    </x:row>
    <x:row r="31" ht="28" customHeight="1">
      <x:c r="C31" s="8"/>
      <x:c r="D31" s="8"/>
      <x:c r="E31" s="17" t="str">
        <x:f>IF(COUNTA(C31:D31,F31:G31,I31:J31)=0,"",IF(AND(C31&lt;&gt;"",D31&lt;&gt;"",COUNTIFS($C$14:$C$21,C31)=1,COUNTIFS('Economia'!$C$26:$C$37,D31)=1),IF(INDEX('Economia'!$E$26:$E$37,MATCH(D31,'Economia'!$C$26:$C$37,0))="","No calculable",IF(ISNUMBER(INDEX('Economia'!$E$26:$E$37,MATCH(D31,'Economia'!$C$26:$C$37,0))),INDEX('Economia'!$E$26:$E$37,MATCH(D31,'Economia'!$C$26:$C$37,0)),"No calculable")),"No calculable"))</x:f>
      </x:c>
      <x:c r="F31" s="8"/>
      <x:c r="G31" s="8"/>
      <x:c r="H31" s="14" t="str">
        <x:f>IF(COUNTA(C31:D31,F31:G31,I31:J31)=0,"",IF(AND(COUNT(E31:G31)=3,MIN(E31:G31)&gt;=0,I31&lt;&gt;"",J31="Completa"),PRODUCT(E31:G31),"No calculable"))</x:f>
      </x:c>
      <x:c r="I31" s="9"/>
      <x:c r="J31" s="9"/>
      <x:c r="K31" s="21" t="str">
        <x:f>IF(COUNTA(C31:D31,F31:G31,I31:J31)=0,"",IF(AND(AND(C31&lt;&gt;"",D31&lt;&gt;"",COUNTIFS($C$14:$C$21,C31)=1,COUNTIFS('Economia'!$C$26:$C$37,D31)=1),ISNUMBER(H31)),"Calculable","Revisar entradas"))</x:f>
      </x:c>
      <x:c r="L31" s="3"/>
      <x:c r="M31" s="3"/>
      <x:c r="N31" s="3"/>
    </x:row>
    <x:row r="32" ht="28" customHeight="1">
      <x:c r="C32" s="8"/>
      <x:c r="D32" s="8"/>
      <x:c r="E32" s="17" t="str">
        <x:f>IF(COUNTA(C32:D32,F32:G32,I32:J32)=0,"",IF(AND(C32&lt;&gt;"",D32&lt;&gt;"",COUNTIFS($C$14:$C$21,C32)=1,COUNTIFS('Economia'!$C$26:$C$37,D32)=1),IF(INDEX('Economia'!$E$26:$E$37,MATCH(D32,'Economia'!$C$26:$C$37,0))="","No calculable",IF(ISNUMBER(INDEX('Economia'!$E$26:$E$37,MATCH(D32,'Economia'!$C$26:$C$37,0))),INDEX('Economia'!$E$26:$E$37,MATCH(D32,'Economia'!$C$26:$C$37,0)),"No calculable")),"No calculable"))</x:f>
      </x:c>
      <x:c r="F32" s="8"/>
      <x:c r="G32" s="8"/>
      <x:c r="H32" s="14" t="str">
        <x:f>IF(COUNTA(C32:D32,F32:G32,I32:J32)=0,"",IF(AND(COUNT(E32:G32)=3,MIN(E32:G32)&gt;=0,I32&lt;&gt;"",J32="Completa"),PRODUCT(E32:G32),"No calculable"))</x:f>
      </x:c>
      <x:c r="I32" s="9"/>
      <x:c r="J32" s="9"/>
      <x:c r="K32" s="21" t="str">
        <x:f>IF(COUNTA(C32:D32,F32:G32,I32:J32)=0,"",IF(AND(AND(C32&lt;&gt;"",D32&lt;&gt;"",COUNTIFS($C$14:$C$21,C32)=1,COUNTIFS('Economia'!$C$26:$C$37,D32)=1),ISNUMBER(H32)),"Calculable","Revisar entradas"))</x:f>
      </x:c>
      <x:c r="L32" s="3"/>
      <x:c r="M32" s="3"/>
      <x:c r="N32" s="3"/>
    </x:row>
    <x:row r="33" ht="28" customHeight="1">
      <x:c r="C33" s="8"/>
      <x:c r="D33" s="8"/>
      <x:c r="E33" s="17" t="str">
        <x:f>IF(COUNTA(C33:D33,F33:G33,I33:J33)=0,"",IF(AND(C33&lt;&gt;"",D33&lt;&gt;"",COUNTIFS($C$14:$C$21,C33)=1,COUNTIFS('Economia'!$C$26:$C$37,D33)=1),IF(INDEX('Economia'!$E$26:$E$37,MATCH(D33,'Economia'!$C$26:$C$37,0))="","No calculable",IF(ISNUMBER(INDEX('Economia'!$E$26:$E$37,MATCH(D33,'Economia'!$C$26:$C$37,0))),INDEX('Economia'!$E$26:$E$37,MATCH(D33,'Economia'!$C$26:$C$37,0)),"No calculable")),"No calculable"))</x:f>
      </x:c>
      <x:c r="F33" s="8"/>
      <x:c r="G33" s="8"/>
      <x:c r="H33" s="14" t="str">
        <x:f>IF(COUNTA(C33:D33,F33:G33,I33:J33)=0,"",IF(AND(COUNT(E33:G33)=3,MIN(E33:G33)&gt;=0,I33&lt;&gt;"",J33="Completa"),PRODUCT(E33:G33),"No calculable"))</x:f>
      </x:c>
      <x:c r="I33" s="9"/>
      <x:c r="J33" s="9"/>
      <x:c r="K33" s="21" t="str">
        <x:f>IF(COUNTA(C33:D33,F33:G33,I33:J33)=0,"",IF(AND(AND(C33&lt;&gt;"",D33&lt;&gt;"",COUNTIFS($C$14:$C$21,C33)=1,COUNTIFS('Economia'!$C$26:$C$37,D33)=1),ISNUMBER(H33)),"Calculable","Revisar entradas"))</x:f>
      </x:c>
      <x:c r="L33" s="3"/>
      <x:c r="M33" s="3"/>
      <x:c r="N33" s="3"/>
    </x:row>
    <x:row r="34" ht="28" customHeight="1">
      <x:c r="C34" s="8"/>
      <x:c r="D34" s="8"/>
      <x:c r="E34" s="17" t="str">
        <x:f>IF(COUNTA(C34:D34,F34:G34,I34:J34)=0,"",IF(AND(C34&lt;&gt;"",D34&lt;&gt;"",COUNTIFS($C$14:$C$21,C34)=1,COUNTIFS('Economia'!$C$26:$C$37,D34)=1),IF(INDEX('Economia'!$E$26:$E$37,MATCH(D34,'Economia'!$C$26:$C$37,0))="","No calculable",IF(ISNUMBER(INDEX('Economia'!$E$26:$E$37,MATCH(D34,'Economia'!$C$26:$C$37,0))),INDEX('Economia'!$E$26:$E$37,MATCH(D34,'Economia'!$C$26:$C$37,0)),"No calculable")),"No calculable"))</x:f>
      </x:c>
      <x:c r="F34" s="8"/>
      <x:c r="G34" s="8"/>
      <x:c r="H34" s="14" t="str">
        <x:f>IF(COUNTA(C34:D34,F34:G34,I34:J34)=0,"",IF(AND(COUNT(E34:G34)=3,MIN(E34:G34)&gt;=0,I34&lt;&gt;"",J34="Completa"),PRODUCT(E34:G34),"No calculable"))</x:f>
      </x:c>
      <x:c r="I34" s="9"/>
      <x:c r="J34" s="9"/>
      <x:c r="K34" s="21" t="str">
        <x:f>IF(COUNTA(C34:D34,F34:G34,I34:J34)=0,"",IF(AND(AND(C34&lt;&gt;"",D34&lt;&gt;"",COUNTIFS($C$14:$C$21,C34)=1,COUNTIFS('Economia'!$C$26:$C$37,D34)=1),ISNUMBER(H34)),"Calculable","Revisar entradas"))</x:f>
      </x:c>
      <x:c r="L34" s="3"/>
      <x:c r="M34" s="3"/>
      <x:c r="N34" s="3"/>
    </x:row>
    <x:row r="35" ht="28" customHeight="1">
      <x:c r="C35" s="8"/>
      <x:c r="D35" s="8"/>
      <x:c r="E35" s="17" t="str">
        <x:f>IF(COUNTA(C35:D35,F35:G35,I35:J35)=0,"",IF(AND(C35&lt;&gt;"",D35&lt;&gt;"",COUNTIFS($C$14:$C$21,C35)=1,COUNTIFS('Economia'!$C$26:$C$37,D35)=1),IF(INDEX('Economia'!$E$26:$E$37,MATCH(D35,'Economia'!$C$26:$C$37,0))="","No calculable",IF(ISNUMBER(INDEX('Economia'!$E$26:$E$37,MATCH(D35,'Economia'!$C$26:$C$37,0))),INDEX('Economia'!$E$26:$E$37,MATCH(D35,'Economia'!$C$26:$C$37,0)),"No calculable")),"No calculable"))</x:f>
      </x:c>
      <x:c r="F35" s="8"/>
      <x:c r="G35" s="8"/>
      <x:c r="H35" s="14" t="str">
        <x:f>IF(COUNTA(C35:D35,F35:G35,I35:J35)=0,"",IF(AND(COUNT(E35:G35)=3,MIN(E35:G35)&gt;=0,I35&lt;&gt;"",J35="Completa"),PRODUCT(E35:G35),"No calculable"))</x:f>
      </x:c>
      <x:c r="I35" s="9"/>
      <x:c r="J35" s="9"/>
      <x:c r="K35" s="21" t="str">
        <x:f>IF(COUNTA(C35:D35,F35:G35,I35:J35)=0,"",IF(AND(AND(C35&lt;&gt;"",D35&lt;&gt;"",COUNTIFS($C$14:$C$21,C35)=1,COUNTIFS('Economia'!$C$26:$C$37,D35)=1),ISNUMBER(H35)),"Calculable","Revisar entradas"))</x:f>
      </x:c>
      <x:c r="L35" s="3"/>
      <x:c r="M35" s="3"/>
      <x:c r="N35" s="3"/>
    </x:row>
    <x:row r="36" ht="28" customHeight="1">
      <x:c r="C36" s="8"/>
      <x:c r="D36" s="8"/>
      <x:c r="E36" s="17" t="str">
        <x:f>IF(COUNTA(C36:D36,F36:G36,I36:J36)=0,"",IF(AND(C36&lt;&gt;"",D36&lt;&gt;"",COUNTIFS($C$14:$C$21,C36)=1,COUNTIFS('Economia'!$C$26:$C$37,D36)=1),IF(INDEX('Economia'!$E$26:$E$37,MATCH(D36,'Economia'!$C$26:$C$37,0))="","No calculable",IF(ISNUMBER(INDEX('Economia'!$E$26:$E$37,MATCH(D36,'Economia'!$C$26:$C$37,0))),INDEX('Economia'!$E$26:$E$37,MATCH(D36,'Economia'!$C$26:$C$37,0)),"No calculable")),"No calculable"))</x:f>
      </x:c>
      <x:c r="F36" s="8"/>
      <x:c r="G36" s="8"/>
      <x:c r="H36" s="14" t="str">
        <x:f>IF(COUNTA(C36:D36,F36:G36,I36:J36)=0,"",IF(AND(COUNT(E36:G36)=3,MIN(E36:G36)&gt;=0,I36&lt;&gt;"",J36="Completa"),PRODUCT(E36:G36),"No calculable"))</x:f>
      </x:c>
      <x:c r="I36" s="9"/>
      <x:c r="J36" s="9"/>
      <x:c r="K36" s="21" t="str">
        <x:f>IF(COUNTA(C36:D36,F36:G36,I36:J36)=0,"",IF(AND(AND(C36&lt;&gt;"",D36&lt;&gt;"",COUNTIFS($C$14:$C$21,C36)=1,COUNTIFS('Economia'!$C$26:$C$37,D36)=1),ISNUMBER(H36)),"Calculable","Revisar entradas"))</x:f>
      </x:c>
      <x:c r="L36" s="3"/>
      <x:c r="M36" s="3"/>
      <x:c r="N36" s="3"/>
    </x:row>
    <x:row r="37" ht="28" customHeight="1">
      <x:c r="C37" s="8"/>
      <x:c r="D37" s="8"/>
      <x:c r="E37" s="17" t="str">
        <x:f>IF(COUNTA(C37:D37,F37:G37,I37:J37)=0,"",IF(AND(C37&lt;&gt;"",D37&lt;&gt;"",COUNTIFS($C$14:$C$21,C37)=1,COUNTIFS('Economia'!$C$26:$C$37,D37)=1),IF(INDEX('Economia'!$E$26:$E$37,MATCH(D37,'Economia'!$C$26:$C$37,0))="","No calculable",IF(ISNUMBER(INDEX('Economia'!$E$26:$E$37,MATCH(D37,'Economia'!$C$26:$C$37,0))),INDEX('Economia'!$E$26:$E$37,MATCH(D37,'Economia'!$C$26:$C$37,0)),"No calculable")),"No calculable"))</x:f>
      </x:c>
      <x:c r="F37" s="8"/>
      <x:c r="G37" s="8"/>
      <x:c r="H37" s="14" t="str">
        <x:f>IF(COUNTA(C37:D37,F37:G37,I37:J37)=0,"",IF(AND(COUNT(E37:G37)=3,MIN(E37:G37)&gt;=0,I37&lt;&gt;"",J37="Completa"),PRODUCT(E37:G37),"No calculable"))</x:f>
      </x:c>
      <x:c r="I37" s="9"/>
      <x:c r="J37" s="9"/>
      <x:c r="K37" s="21" t="str">
        <x:f>IF(COUNTA(C37:D37,F37:G37,I37:J37)=0,"",IF(AND(AND(C37&lt;&gt;"",D37&lt;&gt;"",COUNTIFS($C$14:$C$21,C37)=1,COUNTIFS('Economia'!$C$26:$C$37,D37)=1),ISNUMBER(H37)),"Calculable","Revisar entradas"))</x:f>
      </x:c>
      <x:c r="L37" s="3"/>
      <x:c r="M37" s="3"/>
      <x:c r="N37" s="3"/>
    </x:row>
    <x:row r="38" ht="28" customHeight="1">
      <x:c r="C38" s="8"/>
      <x:c r="D38" s="8"/>
      <x:c r="E38" s="17" t="str">
        <x:f>IF(COUNTA(C38:D38,F38:G38,I38:J38)=0,"",IF(AND(C38&lt;&gt;"",D38&lt;&gt;"",COUNTIFS($C$14:$C$21,C38)=1,COUNTIFS('Economia'!$C$26:$C$37,D38)=1),IF(INDEX('Economia'!$E$26:$E$37,MATCH(D38,'Economia'!$C$26:$C$37,0))="","No calculable",IF(ISNUMBER(INDEX('Economia'!$E$26:$E$37,MATCH(D38,'Economia'!$C$26:$C$37,0))),INDEX('Economia'!$E$26:$E$37,MATCH(D38,'Economia'!$C$26:$C$37,0)),"No calculable")),"No calculable"))</x:f>
      </x:c>
      <x:c r="F38" s="8"/>
      <x:c r="G38" s="8"/>
      <x:c r="H38" s="14" t="str">
        <x:f>IF(COUNTA(C38:D38,F38:G38,I38:J38)=0,"",IF(AND(COUNT(E38:G38)=3,MIN(E38:G38)&gt;=0,I38&lt;&gt;"",J38="Completa"),PRODUCT(E38:G38),"No calculable"))</x:f>
      </x:c>
      <x:c r="I38" s="9"/>
      <x:c r="J38" s="9"/>
      <x:c r="K38" s="21" t="str">
        <x:f>IF(COUNTA(C38:D38,F38:G38,I38:J38)=0,"",IF(AND(AND(C38&lt;&gt;"",D38&lt;&gt;"",COUNTIFS($C$14:$C$21,C38)=1,COUNTIFS('Economia'!$C$26:$C$37,D38)=1),ISNUMBER(H38)),"Calculable","Revisar entradas"))</x:f>
      </x:c>
      <x:c r="L38" s="3"/>
      <x:c r="M38" s="3"/>
      <x:c r="N38" s="3"/>
    </x:row>
    <x:row r="39" ht="28" customHeight="1">
      <x:c r="C39" s="8"/>
      <x:c r="D39" s="8"/>
      <x:c r="E39" s="17" t="str">
        <x:f>IF(COUNTA(C39:D39,F39:G39,I39:J39)=0,"",IF(AND(C39&lt;&gt;"",D39&lt;&gt;"",COUNTIFS($C$14:$C$21,C39)=1,COUNTIFS('Economia'!$C$26:$C$37,D39)=1),IF(INDEX('Economia'!$E$26:$E$37,MATCH(D39,'Economia'!$C$26:$C$37,0))="","No calculable",IF(ISNUMBER(INDEX('Economia'!$E$26:$E$37,MATCH(D39,'Economia'!$C$26:$C$37,0))),INDEX('Economia'!$E$26:$E$37,MATCH(D39,'Economia'!$C$26:$C$37,0)),"No calculable")),"No calculable"))</x:f>
      </x:c>
      <x:c r="F39" s="8"/>
      <x:c r="G39" s="8"/>
      <x:c r="H39" s="14" t="str">
        <x:f>IF(COUNTA(C39:D39,F39:G39,I39:J39)=0,"",IF(AND(COUNT(E39:G39)=3,MIN(E39:G39)&gt;=0,I39&lt;&gt;"",J39="Completa"),PRODUCT(E39:G39),"No calculable"))</x:f>
      </x:c>
      <x:c r="I39" s="9"/>
      <x:c r="J39" s="9"/>
      <x:c r="K39" s="21" t="str">
        <x:f>IF(COUNTA(C39:D39,F39:G39,I39:J39)=0,"",IF(AND(AND(C39&lt;&gt;"",D39&lt;&gt;"",COUNTIFS($C$14:$C$21,C39)=1,COUNTIFS('Economia'!$C$26:$C$37,D39)=1),ISNUMBER(H39)),"Calculable","Revisar entradas"))</x:f>
      </x:c>
      <x:c r="L39" s="3"/>
      <x:c r="M39" s="3"/>
      <x:c r="N39" s="3"/>
    </x:row>
    <x:row r="40" ht="28" customHeight="1">
      <x:c r="C40" s="8"/>
      <x:c r="D40" s="8"/>
      <x:c r="E40" s="17" t="str">
        <x:f>IF(COUNTA(C40:D40,F40:G40,I40:J40)=0,"",IF(AND(C40&lt;&gt;"",D40&lt;&gt;"",COUNTIFS($C$14:$C$21,C40)=1,COUNTIFS('Economia'!$C$26:$C$37,D40)=1),IF(INDEX('Economia'!$E$26:$E$37,MATCH(D40,'Economia'!$C$26:$C$37,0))="","No calculable",IF(ISNUMBER(INDEX('Economia'!$E$26:$E$37,MATCH(D40,'Economia'!$C$26:$C$37,0))),INDEX('Economia'!$E$26:$E$37,MATCH(D40,'Economia'!$C$26:$C$37,0)),"No calculable")),"No calculable"))</x:f>
      </x:c>
      <x:c r="F40" s="8"/>
      <x:c r="G40" s="8"/>
      <x:c r="H40" s="14" t="str">
        <x:f>IF(COUNTA(C40:D40,F40:G40,I40:J40)=0,"",IF(AND(COUNT(E40:G40)=3,MIN(E40:G40)&gt;=0,I40&lt;&gt;"",J40="Completa"),PRODUCT(E40:G40),"No calculable"))</x:f>
      </x:c>
      <x:c r="I40" s="9"/>
      <x:c r="J40" s="9"/>
      <x:c r="K40" s="21" t="str">
        <x:f>IF(COUNTA(C40:D40,F40:G40,I40:J40)=0,"",IF(AND(AND(C40&lt;&gt;"",D40&lt;&gt;"",COUNTIFS($C$14:$C$21,C40)=1,COUNTIFS('Economia'!$C$26:$C$37,D40)=1),ISNUMBER(H40)),"Calculable","Revisar entradas"))</x:f>
      </x:c>
      <x:c r="L40" s="3"/>
      <x:c r="M40" s="3"/>
      <x:c r="N40" s="3"/>
    </x:row>
    <x:row r="41" ht="28" customHeight="1">
      <x:c r="C41" s="8"/>
      <x:c r="D41" s="8"/>
      <x:c r="E41" s="17" t="str">
        <x:f>IF(COUNTA(C41:D41,F41:G41,I41:J41)=0,"",IF(AND(C41&lt;&gt;"",D41&lt;&gt;"",COUNTIFS($C$14:$C$21,C41)=1,COUNTIFS('Economia'!$C$26:$C$37,D41)=1),IF(INDEX('Economia'!$E$26:$E$37,MATCH(D41,'Economia'!$C$26:$C$37,0))="","No calculable",IF(ISNUMBER(INDEX('Economia'!$E$26:$E$37,MATCH(D41,'Economia'!$C$26:$C$37,0))),INDEX('Economia'!$E$26:$E$37,MATCH(D41,'Economia'!$C$26:$C$37,0)),"No calculable")),"No calculable"))</x:f>
      </x:c>
      <x:c r="F41" s="8"/>
      <x:c r="G41" s="8"/>
      <x:c r="H41" s="14" t="str">
        <x:f>IF(COUNTA(C41:D41,F41:G41,I41:J41)=0,"",IF(AND(COUNT(E41:G41)=3,MIN(E41:G41)&gt;=0,I41&lt;&gt;"",J41="Completa"),PRODUCT(E41:G41),"No calculable"))</x:f>
      </x:c>
      <x:c r="I41" s="9"/>
      <x:c r="J41" s="9"/>
      <x:c r="K41" s="21" t="str">
        <x:f>IF(COUNTA(C41:D41,F41:G41,I41:J41)=0,"",IF(AND(AND(C41&lt;&gt;"",D41&lt;&gt;"",COUNTIFS($C$14:$C$21,C41)=1,COUNTIFS('Economia'!$C$26:$C$37,D41)=1),ISNUMBER(H41)),"Calculable","Revisar entradas"))</x:f>
      </x:c>
      <x:c r="L41" s="3"/>
      <x:c r="M41" s="3"/>
      <x:c r="N41" s="3"/>
    </x:row>
    <x:row r="42" ht="28" customHeight="1">
      <x:c r="C42" s="8"/>
      <x:c r="D42" s="8"/>
      <x:c r="E42" s="17" t="str">
        <x:f>IF(COUNTA(C42:D42,F42:G42,I42:J42)=0,"",IF(AND(C42&lt;&gt;"",D42&lt;&gt;"",COUNTIFS($C$14:$C$21,C42)=1,COUNTIFS('Economia'!$C$26:$C$37,D42)=1),IF(INDEX('Economia'!$E$26:$E$37,MATCH(D42,'Economia'!$C$26:$C$37,0))="","No calculable",IF(ISNUMBER(INDEX('Economia'!$E$26:$E$37,MATCH(D42,'Economia'!$C$26:$C$37,0))),INDEX('Economia'!$E$26:$E$37,MATCH(D42,'Economia'!$C$26:$C$37,0)),"No calculable")),"No calculable"))</x:f>
      </x:c>
      <x:c r="F42" s="8"/>
      <x:c r="G42" s="8"/>
      <x:c r="H42" s="14" t="str">
        <x:f>IF(COUNTA(C42:D42,F42:G42,I42:J42)=0,"",IF(AND(COUNT(E42:G42)=3,MIN(E42:G42)&gt;=0,I42&lt;&gt;"",J42="Completa"),PRODUCT(E42:G42),"No calculable"))</x:f>
      </x:c>
      <x:c r="I42" s="9"/>
      <x:c r="J42" s="9"/>
      <x:c r="K42" s="21" t="str">
        <x:f>IF(COUNTA(C42:D42,F42:G42,I42:J42)=0,"",IF(AND(AND(C42&lt;&gt;"",D42&lt;&gt;"",COUNTIFS($C$14:$C$21,C42)=1,COUNTIFS('Economia'!$C$26:$C$37,D42)=1),ISNUMBER(H42)),"Calculable","Revisar entradas"))</x:f>
      </x:c>
      <x:c r="L42" s="3"/>
      <x:c r="M42" s="3"/>
      <x:c r="N42" s="3"/>
    </x:row>
    <x:row r="43" ht="28" customHeight="1">
      <x:c r="C43" s="8"/>
      <x:c r="D43" s="8"/>
      <x:c r="E43" s="17" t="str">
        <x:f>IF(COUNTA(C43:D43,F43:G43,I43:J43)=0,"",IF(AND(C43&lt;&gt;"",D43&lt;&gt;"",COUNTIFS($C$14:$C$21,C43)=1,COUNTIFS('Economia'!$C$26:$C$37,D43)=1),IF(INDEX('Economia'!$E$26:$E$37,MATCH(D43,'Economia'!$C$26:$C$37,0))="","No calculable",IF(ISNUMBER(INDEX('Economia'!$E$26:$E$37,MATCH(D43,'Economia'!$C$26:$C$37,0))),INDEX('Economia'!$E$26:$E$37,MATCH(D43,'Economia'!$C$26:$C$37,0)),"No calculable")),"No calculable"))</x:f>
      </x:c>
      <x:c r="F43" s="8"/>
      <x:c r="G43" s="8"/>
      <x:c r="H43" s="14" t="str">
        <x:f>IF(COUNTA(C43:D43,F43:G43,I43:J43)=0,"",IF(AND(COUNT(E43:G43)=3,MIN(E43:G43)&gt;=0,I43&lt;&gt;"",J43="Completa"),PRODUCT(E43:G43),"No calculable"))</x:f>
      </x:c>
      <x:c r="I43" s="9"/>
      <x:c r="J43" s="9"/>
      <x:c r="K43" s="21" t="str">
        <x:f>IF(COUNTA(C43:D43,F43:G43,I43:J43)=0,"",IF(AND(AND(C43&lt;&gt;"",D43&lt;&gt;"",COUNTIFS($C$14:$C$21,C43)=1,COUNTIFS('Economia'!$C$26:$C$37,D43)=1),ISNUMBER(H43)),"Calculable","Revisar entradas"))</x:f>
      </x:c>
      <x:c r="L43" s="3"/>
      <x:c r="M43" s="3"/>
      <x:c r="N43" s="3"/>
    </x:row>
    <x:row r="44" ht="28" customHeight="1">
      <x:c r="C44" s="8"/>
      <x:c r="D44" s="8"/>
      <x:c r="E44" s="17" t="str">
        <x:f>IF(COUNTA(C44:D44,F44:G44,I44:J44)=0,"",IF(AND(C44&lt;&gt;"",D44&lt;&gt;"",COUNTIFS($C$14:$C$21,C44)=1,COUNTIFS('Economia'!$C$26:$C$37,D44)=1),IF(INDEX('Economia'!$E$26:$E$37,MATCH(D44,'Economia'!$C$26:$C$37,0))="","No calculable",IF(ISNUMBER(INDEX('Economia'!$E$26:$E$37,MATCH(D44,'Economia'!$C$26:$C$37,0))),INDEX('Economia'!$E$26:$E$37,MATCH(D44,'Economia'!$C$26:$C$37,0)),"No calculable")),"No calculable"))</x:f>
      </x:c>
      <x:c r="F44" s="8"/>
      <x:c r="G44" s="8"/>
      <x:c r="H44" s="14" t="str">
        <x:f>IF(COUNTA(C44:D44,F44:G44,I44:J44)=0,"",IF(AND(COUNT(E44:G44)=3,MIN(E44:G44)&gt;=0,I44&lt;&gt;"",J44="Completa"),PRODUCT(E44:G44),"No calculable"))</x:f>
      </x:c>
      <x:c r="I44" s="9"/>
      <x:c r="J44" s="9"/>
      <x:c r="K44" s="21" t="str">
        <x:f>IF(COUNTA(C44:D44,F44:G44,I44:J44)=0,"",IF(AND(AND(C44&lt;&gt;"",D44&lt;&gt;"",COUNTIFS($C$14:$C$21,C44)=1,COUNTIFS('Economia'!$C$26:$C$37,D44)=1),ISNUMBER(H44)),"Calculable","Revisar entradas"))</x:f>
      </x:c>
      <x:c r="L44" s="3"/>
      <x:c r="M44" s="3"/>
      <x:c r="N44" s="3"/>
    </x:row>
    <x:row r="45" ht="28" customHeight="1">
      <x:c r="C45" s="8"/>
      <x:c r="D45" s="8"/>
      <x:c r="E45" s="17" t="str">
        <x:f>IF(COUNTA(C45:D45,F45:G45,I45:J45)=0,"",IF(AND(C45&lt;&gt;"",D45&lt;&gt;"",COUNTIFS($C$14:$C$21,C45)=1,COUNTIFS('Economia'!$C$26:$C$37,D45)=1),IF(INDEX('Economia'!$E$26:$E$37,MATCH(D45,'Economia'!$C$26:$C$37,0))="","No calculable",IF(ISNUMBER(INDEX('Economia'!$E$26:$E$37,MATCH(D45,'Economia'!$C$26:$C$37,0))),INDEX('Economia'!$E$26:$E$37,MATCH(D45,'Economia'!$C$26:$C$37,0)),"No calculable")),"No calculable"))</x:f>
      </x:c>
      <x:c r="F45" s="8"/>
      <x:c r="G45" s="8"/>
      <x:c r="H45" s="14" t="str">
        <x:f>IF(COUNTA(C45:D45,F45:G45,I45:J45)=0,"",IF(AND(COUNT(E45:G45)=3,MIN(E45:G45)&gt;=0,I45&lt;&gt;"",J45="Completa"),PRODUCT(E45:G45),"No calculable"))</x:f>
      </x:c>
      <x:c r="I45" s="9"/>
      <x:c r="J45" s="9"/>
      <x:c r="K45" s="21" t="str">
        <x:f>IF(COUNTA(C45:D45,F45:G45,I45:J45)=0,"",IF(AND(AND(C45&lt;&gt;"",D45&lt;&gt;"",COUNTIFS($C$14:$C$21,C45)=1,COUNTIFS('Economia'!$C$26:$C$37,D45)=1),ISNUMBER(H45)),"Calculable","Revisar entradas"))</x:f>
      </x:c>
      <x:c r="L45" s="3"/>
      <x:c r="M45" s="3"/>
      <x:c r="N45" s="3"/>
    </x:row>
    <x:row r="46" ht="28" customHeight="1">
      <x:c r="C46" s="8"/>
      <x:c r="D46" s="8"/>
      <x:c r="E46" s="17" t="str">
        <x:f>IF(COUNTA(C46:D46,F46:G46,I46:J46)=0,"",IF(AND(C46&lt;&gt;"",D46&lt;&gt;"",COUNTIFS($C$14:$C$21,C46)=1,COUNTIFS('Economia'!$C$26:$C$37,D46)=1),IF(INDEX('Economia'!$E$26:$E$37,MATCH(D46,'Economia'!$C$26:$C$37,0))="","No calculable",IF(ISNUMBER(INDEX('Economia'!$E$26:$E$37,MATCH(D46,'Economia'!$C$26:$C$37,0))),INDEX('Economia'!$E$26:$E$37,MATCH(D46,'Economia'!$C$26:$C$37,0)),"No calculable")),"No calculable"))</x:f>
      </x:c>
      <x:c r="F46" s="8"/>
      <x:c r="G46" s="8"/>
      <x:c r="H46" s="14" t="str">
        <x:f>IF(COUNTA(C46:D46,F46:G46,I46:J46)=0,"",IF(AND(COUNT(E46:G46)=3,MIN(E46:G46)&gt;=0,I46&lt;&gt;"",J46="Completa"),PRODUCT(E46:G46),"No calculable"))</x:f>
      </x:c>
      <x:c r="I46" s="9"/>
      <x:c r="J46" s="9"/>
      <x:c r="K46" s="21" t="str">
        <x:f>IF(COUNTA(C46:D46,F46:G46,I46:J46)=0,"",IF(AND(AND(C46&lt;&gt;"",D46&lt;&gt;"",COUNTIFS($C$14:$C$21,C46)=1,COUNTIFS('Economia'!$C$26:$C$37,D46)=1),ISNUMBER(H46)),"Calculable","Revisar entradas"))</x:f>
      </x:c>
      <x:c r="L46" s="3"/>
      <x:c r="M46" s="3"/>
      <x:c r="N46" s="3"/>
    </x:row>
    <x:row r="47" ht="28" customHeight="1">
      <x:c r="C47" s="8"/>
      <x:c r="D47" s="8"/>
      <x:c r="E47" s="17" t="str">
        <x:f>IF(COUNTA(C47:D47,F47:G47,I47:J47)=0,"",IF(AND(C47&lt;&gt;"",D47&lt;&gt;"",COUNTIFS($C$14:$C$21,C47)=1,COUNTIFS('Economia'!$C$26:$C$37,D47)=1),IF(INDEX('Economia'!$E$26:$E$37,MATCH(D47,'Economia'!$C$26:$C$37,0))="","No calculable",IF(ISNUMBER(INDEX('Economia'!$E$26:$E$37,MATCH(D47,'Economia'!$C$26:$C$37,0))),INDEX('Economia'!$E$26:$E$37,MATCH(D47,'Economia'!$C$26:$C$37,0)),"No calculable")),"No calculable"))</x:f>
      </x:c>
      <x:c r="F47" s="8"/>
      <x:c r="G47" s="8"/>
      <x:c r="H47" s="14" t="str">
        <x:f>IF(COUNTA(C47:D47,F47:G47,I47:J47)=0,"",IF(AND(COUNT(E47:G47)=3,MIN(E47:G47)&gt;=0,I47&lt;&gt;"",J47="Completa"),PRODUCT(E47:G47),"No calculable"))</x:f>
      </x:c>
      <x:c r="I47" s="9"/>
      <x:c r="J47" s="9"/>
      <x:c r="K47" s="21" t="str">
        <x:f>IF(COUNTA(C47:D47,F47:G47,I47:J47)=0,"",IF(AND(AND(C47&lt;&gt;"",D47&lt;&gt;"",COUNTIFS($C$14:$C$21,C47)=1,COUNTIFS('Economia'!$C$26:$C$37,D47)=1),ISNUMBER(H47)),"Calculable","Revisar entradas"))</x:f>
      </x:c>
      <x:c r="L47" s="3"/>
      <x:c r="M47" s="3"/>
      <x:c r="N47" s="3"/>
    </x:row>
    <x:row r="48" ht="28" customHeight="1">
      <x:c r="C48" s="8"/>
      <x:c r="D48" s="8"/>
      <x:c r="E48" s="17" t="str">
        <x:f>IF(COUNTA(C48:D48,F48:G48,I48:J48)=0,"",IF(AND(C48&lt;&gt;"",D48&lt;&gt;"",COUNTIFS($C$14:$C$21,C48)=1,COUNTIFS('Economia'!$C$26:$C$37,D48)=1),IF(INDEX('Economia'!$E$26:$E$37,MATCH(D48,'Economia'!$C$26:$C$37,0))="","No calculable",IF(ISNUMBER(INDEX('Economia'!$E$26:$E$37,MATCH(D48,'Economia'!$C$26:$C$37,0))),INDEX('Economia'!$E$26:$E$37,MATCH(D48,'Economia'!$C$26:$C$37,0)),"No calculable")),"No calculable"))</x:f>
      </x:c>
      <x:c r="F48" s="8"/>
      <x:c r="G48" s="8"/>
      <x:c r="H48" s="14" t="str">
        <x:f>IF(COUNTA(C48:D48,F48:G48,I48:J48)=0,"",IF(AND(COUNT(E48:G48)=3,MIN(E48:G48)&gt;=0,I48&lt;&gt;"",J48="Completa"),PRODUCT(E48:G48),"No calculable"))</x:f>
      </x:c>
      <x:c r="I48" s="9"/>
      <x:c r="J48" s="9"/>
      <x:c r="K48" s="21" t="str">
        <x:f>IF(COUNTA(C48:D48,F48:G48,I48:J48)=0,"",IF(AND(AND(C48&lt;&gt;"",D48&lt;&gt;"",COUNTIFS($C$14:$C$21,C48)=1,COUNTIFS('Economia'!$C$26:$C$37,D48)=1),ISNUMBER(H48)),"Calculable","Revisar entradas"))</x:f>
      </x:c>
      <x:c r="L48" s="3"/>
      <x:c r="M48" s="3"/>
      <x:c r="N48" s="3"/>
    </x:row>
    <x:row r="49" ht="28" customHeight="1">
      <x:c r="C49" s="8"/>
      <x:c r="D49" s="8"/>
      <x:c r="E49" s="17" t="str">
        <x:f>IF(COUNTA(C49:D49,F49:G49,I49:J49)=0,"",IF(AND(C49&lt;&gt;"",D49&lt;&gt;"",COUNTIFS($C$14:$C$21,C49)=1,COUNTIFS('Economia'!$C$26:$C$37,D49)=1),IF(INDEX('Economia'!$E$26:$E$37,MATCH(D49,'Economia'!$C$26:$C$37,0))="","No calculable",IF(ISNUMBER(INDEX('Economia'!$E$26:$E$37,MATCH(D49,'Economia'!$C$26:$C$37,0))),INDEX('Economia'!$E$26:$E$37,MATCH(D49,'Economia'!$C$26:$C$37,0)),"No calculable")),"No calculable"))</x:f>
      </x:c>
      <x:c r="F49" s="8"/>
      <x:c r="G49" s="8"/>
      <x:c r="H49" s="14" t="str">
        <x:f>IF(COUNTA(C49:D49,F49:G49,I49:J49)=0,"",IF(AND(COUNT(E49:G49)=3,MIN(E49:G49)&gt;=0,I49&lt;&gt;"",J49="Completa"),PRODUCT(E49:G49),"No calculable"))</x:f>
      </x:c>
      <x:c r="I49" s="9"/>
      <x:c r="J49" s="9"/>
      <x:c r="K49" s="21" t="str">
        <x:f>IF(COUNTA(C49:D49,F49:G49,I49:J49)=0,"",IF(AND(AND(C49&lt;&gt;"",D49&lt;&gt;"",COUNTIFS($C$14:$C$21,C49)=1,COUNTIFS('Economia'!$C$26:$C$37,D49)=1),ISNUMBER(H49)),"Calculable","Revisar entradas"))</x:f>
      </x:c>
      <x:c r="L49" s="3"/>
      <x:c r="M49" s="3"/>
      <x:c r="N49" s="3"/>
    </x:row>
    <x:row r="50" ht="28" customHeight="1">
      <x:c r="C50" s="8"/>
      <x:c r="D50" s="8"/>
      <x:c r="E50" s="17" t="str">
        <x:f>IF(COUNTA(C50:D50,F50:G50,I50:J50)=0,"",IF(AND(C50&lt;&gt;"",D50&lt;&gt;"",COUNTIFS($C$14:$C$21,C50)=1,COUNTIFS('Economia'!$C$26:$C$37,D50)=1),IF(INDEX('Economia'!$E$26:$E$37,MATCH(D50,'Economia'!$C$26:$C$37,0))="","No calculable",IF(ISNUMBER(INDEX('Economia'!$E$26:$E$37,MATCH(D50,'Economia'!$C$26:$C$37,0))),INDEX('Economia'!$E$26:$E$37,MATCH(D50,'Economia'!$C$26:$C$37,0)),"No calculable")),"No calculable"))</x:f>
      </x:c>
      <x:c r="F50" s="8"/>
      <x:c r="G50" s="8"/>
      <x:c r="H50" s="14" t="str">
        <x:f>IF(COUNTA(C50:D50,F50:G50,I50:J50)=0,"",IF(AND(COUNT(E50:G50)=3,MIN(E50:G50)&gt;=0,I50&lt;&gt;"",J50="Completa"),PRODUCT(E50:G50),"No calculable"))</x:f>
      </x:c>
      <x:c r="I50" s="9"/>
      <x:c r="J50" s="9"/>
      <x:c r="K50" s="21" t="str">
        <x:f>IF(COUNTA(C50:D50,F50:G50,I50:J50)=0,"",IF(AND(AND(C50&lt;&gt;"",D50&lt;&gt;"",COUNTIFS($C$14:$C$21,C50)=1,COUNTIFS('Economia'!$C$26:$C$37,D50)=1),ISNUMBER(H50)),"Calculable","Revisar entradas"))</x:f>
      </x:c>
      <x:c r="L50" s="3"/>
      <x:c r="M50" s="3"/>
      <x:c r="N50" s="3"/>
    </x:row>
    <x:row r="51" ht="28" customHeight="1">
      <x:c r="C51" s="8"/>
      <x:c r="D51" s="8"/>
      <x:c r="E51" s="17" t="str">
        <x:f>IF(COUNTA(C51:D51,F51:G51,I51:J51)=0,"",IF(AND(C51&lt;&gt;"",D51&lt;&gt;"",COUNTIFS($C$14:$C$21,C51)=1,COUNTIFS('Economia'!$C$26:$C$37,D51)=1),IF(INDEX('Economia'!$E$26:$E$37,MATCH(D51,'Economia'!$C$26:$C$37,0))="","No calculable",IF(ISNUMBER(INDEX('Economia'!$E$26:$E$37,MATCH(D51,'Economia'!$C$26:$C$37,0))),INDEX('Economia'!$E$26:$E$37,MATCH(D51,'Economia'!$C$26:$C$37,0)),"No calculable")),"No calculable"))</x:f>
      </x:c>
      <x:c r="F51" s="8"/>
      <x:c r="G51" s="8"/>
      <x:c r="H51" s="14" t="str">
        <x:f>IF(COUNTA(C51:D51,F51:G51,I51:J51)=0,"",IF(AND(COUNT(E51:G51)=3,MIN(E51:G51)&gt;=0,I51&lt;&gt;"",J51="Completa"),PRODUCT(E51:G51),"No calculable"))</x:f>
      </x:c>
      <x:c r="I51" s="9"/>
      <x:c r="J51" s="9"/>
      <x:c r="K51" s="21" t="str">
        <x:f>IF(COUNTA(C51:D51,F51:G51,I51:J51)=0,"",IF(AND(AND(C51&lt;&gt;"",D51&lt;&gt;"",COUNTIFS($C$14:$C$21,C51)=1,COUNTIFS('Economia'!$C$26:$C$37,D51)=1),ISNUMBER(H51)),"Calculable","Revisar entradas"))</x:f>
      </x:c>
      <x:c r="L51" s="3"/>
      <x:c r="M51" s="3"/>
      <x:c r="N51" s="3"/>
    </x:row>
    <x:row r="52" ht="28" customHeight="1">
      <x:c r="C52" s="8"/>
      <x:c r="D52" s="8"/>
      <x:c r="E52" s="17" t="str">
        <x:f>IF(COUNTA(C52:D52,F52:G52,I52:J52)=0,"",IF(AND(C52&lt;&gt;"",D52&lt;&gt;"",COUNTIFS($C$14:$C$21,C52)=1,COUNTIFS('Economia'!$C$26:$C$37,D52)=1),IF(INDEX('Economia'!$E$26:$E$37,MATCH(D52,'Economia'!$C$26:$C$37,0))="","No calculable",IF(ISNUMBER(INDEX('Economia'!$E$26:$E$37,MATCH(D52,'Economia'!$C$26:$C$37,0))),INDEX('Economia'!$E$26:$E$37,MATCH(D52,'Economia'!$C$26:$C$37,0)),"No calculable")),"No calculable"))</x:f>
      </x:c>
      <x:c r="F52" s="8"/>
      <x:c r="G52" s="8"/>
      <x:c r="H52" s="14" t="str">
        <x:f>IF(COUNTA(C52:D52,F52:G52,I52:J52)=0,"",IF(AND(COUNT(E52:G52)=3,MIN(E52:G52)&gt;=0,I52&lt;&gt;"",J52="Completa"),PRODUCT(E52:G52),"No calculable"))</x:f>
      </x:c>
      <x:c r="I52" s="9"/>
      <x:c r="J52" s="9"/>
      <x:c r="K52" s="21" t="str">
        <x:f>IF(COUNTA(C52:D52,F52:G52,I52:J52)=0,"",IF(AND(AND(C52&lt;&gt;"",D52&lt;&gt;"",COUNTIFS($C$14:$C$21,C52)=1,COUNTIFS('Economia'!$C$26:$C$37,D52)=1),ISNUMBER(H52)),"Calculable","Revisar entradas"))</x:f>
      </x:c>
      <x:c r="L52" s="3"/>
      <x:c r="M52" s="3"/>
      <x:c r="N52" s="3"/>
    </x:row>
    <x:row r="53" ht="28" customHeight="1">
      <x:c r="C53" s="8"/>
      <x:c r="D53" s="8"/>
      <x:c r="E53" s="17" t="str">
        <x:f>IF(COUNTA(C53:D53,F53:G53,I53:J53)=0,"",IF(AND(C53&lt;&gt;"",D53&lt;&gt;"",COUNTIFS($C$14:$C$21,C53)=1,COUNTIFS('Economia'!$C$26:$C$37,D53)=1),IF(INDEX('Economia'!$E$26:$E$37,MATCH(D53,'Economia'!$C$26:$C$37,0))="","No calculable",IF(ISNUMBER(INDEX('Economia'!$E$26:$E$37,MATCH(D53,'Economia'!$C$26:$C$37,0))),INDEX('Economia'!$E$26:$E$37,MATCH(D53,'Economia'!$C$26:$C$37,0)),"No calculable")),"No calculable"))</x:f>
      </x:c>
      <x:c r="F53" s="8"/>
      <x:c r="G53" s="8"/>
      <x:c r="H53" s="14" t="str">
        <x:f>IF(COUNTA(C53:D53,F53:G53,I53:J53)=0,"",IF(AND(COUNT(E53:G53)=3,MIN(E53:G53)&gt;=0,I53&lt;&gt;"",J53="Completa"),PRODUCT(E53:G53),"No calculable"))</x:f>
      </x:c>
      <x:c r="I53" s="9"/>
      <x:c r="J53" s="9"/>
      <x:c r="K53" s="21" t="str">
        <x:f>IF(COUNTA(C53:D53,F53:G53,I53:J53)=0,"",IF(AND(AND(C53&lt;&gt;"",D53&lt;&gt;"",COUNTIFS($C$14:$C$21,C53)=1,COUNTIFS('Economia'!$C$26:$C$37,D53)=1),ISNUMBER(H53)),"Calculable","Revisar entradas"))</x:f>
      </x:c>
      <x:c r="L53" s="3"/>
      <x:c r="M53" s="3"/>
      <x:c r="N53" s="3"/>
    </x:row>
    <x:row r="54" ht="28" customHeight="1">
      <x:c r="C54" s="8"/>
      <x:c r="D54" s="8"/>
      <x:c r="E54" s="17" t="str">
        <x:f>IF(COUNTA(C54:D54,F54:G54,I54:J54)=0,"",IF(AND(C54&lt;&gt;"",D54&lt;&gt;"",COUNTIFS($C$14:$C$21,C54)=1,COUNTIFS('Economia'!$C$26:$C$37,D54)=1),IF(INDEX('Economia'!$E$26:$E$37,MATCH(D54,'Economia'!$C$26:$C$37,0))="","No calculable",IF(ISNUMBER(INDEX('Economia'!$E$26:$E$37,MATCH(D54,'Economia'!$C$26:$C$37,0))),INDEX('Economia'!$E$26:$E$37,MATCH(D54,'Economia'!$C$26:$C$37,0)),"No calculable")),"No calculable"))</x:f>
      </x:c>
      <x:c r="F54" s="8"/>
      <x:c r="G54" s="8"/>
      <x:c r="H54" s="14" t="str">
        <x:f>IF(COUNTA(C54:D54,F54:G54,I54:J54)=0,"",IF(AND(COUNT(E54:G54)=3,MIN(E54:G54)&gt;=0,I54&lt;&gt;"",J54="Completa"),PRODUCT(E54:G54),"No calculable"))</x:f>
      </x:c>
      <x:c r="I54" s="9"/>
      <x:c r="J54" s="9"/>
      <x:c r="K54" s="21" t="str">
        <x:f>IF(COUNTA(C54:D54,F54:G54,I54:J54)=0,"",IF(AND(AND(C54&lt;&gt;"",D54&lt;&gt;"",COUNTIFS($C$14:$C$21,C54)=1,COUNTIFS('Economia'!$C$26:$C$37,D54)=1),ISNUMBER(H54)),"Calculable","Revisar entradas"))</x:f>
      </x:c>
      <x:c r="L54" s="3"/>
      <x:c r="M54" s="3"/>
      <x:c r="N54" s="3"/>
    </x:row>
    <x:row r="55" ht="28" customHeight="1">
      <x:c r="C55" s="8"/>
      <x:c r="D55" s="8"/>
      <x:c r="E55" s="17" t="str">
        <x:f>IF(COUNTA(C55:D55,F55:G55,I55:J55)=0,"",IF(AND(C55&lt;&gt;"",D55&lt;&gt;"",COUNTIFS($C$14:$C$21,C55)=1,COUNTIFS('Economia'!$C$26:$C$37,D55)=1),IF(INDEX('Economia'!$E$26:$E$37,MATCH(D55,'Economia'!$C$26:$C$37,0))="","No calculable",IF(ISNUMBER(INDEX('Economia'!$E$26:$E$37,MATCH(D55,'Economia'!$C$26:$C$37,0))),INDEX('Economia'!$E$26:$E$37,MATCH(D55,'Economia'!$C$26:$C$37,0)),"No calculable")),"No calculable"))</x:f>
      </x:c>
      <x:c r="F55" s="8"/>
      <x:c r="G55" s="8"/>
      <x:c r="H55" s="14" t="str">
        <x:f>IF(COUNTA(C55:D55,F55:G55,I55:J55)=0,"",IF(AND(COUNT(E55:G55)=3,MIN(E55:G55)&gt;=0,I55&lt;&gt;"",J55="Completa"),PRODUCT(E55:G55),"No calculable"))</x:f>
      </x:c>
      <x:c r="I55" s="9"/>
      <x:c r="J55" s="9"/>
      <x:c r="K55" s="21" t="str">
        <x:f>IF(COUNTA(C55:D55,F55:G55,I55:J55)=0,"",IF(AND(AND(C55&lt;&gt;"",D55&lt;&gt;"",COUNTIFS($C$14:$C$21,C55)=1,COUNTIFS('Economia'!$C$26:$C$37,D55)=1),ISNUMBER(H55)),"Calculable","Revisar entradas"))</x:f>
      </x:c>
      <x:c r="L55" s="3"/>
      <x:c r="M55" s="3"/>
      <x:c r="N55" s="3"/>
    </x:row>
    <x:row r="56" ht="28" customHeight="1">
      <x:c r="C56" s="8"/>
      <x:c r="D56" s="8"/>
      <x:c r="E56" s="17" t="str">
        <x:f>IF(COUNTA(C56:D56,F56:G56,I56:J56)=0,"",IF(AND(C56&lt;&gt;"",D56&lt;&gt;"",COUNTIFS($C$14:$C$21,C56)=1,COUNTIFS('Economia'!$C$26:$C$37,D56)=1),IF(INDEX('Economia'!$E$26:$E$37,MATCH(D56,'Economia'!$C$26:$C$37,0))="","No calculable",IF(ISNUMBER(INDEX('Economia'!$E$26:$E$37,MATCH(D56,'Economia'!$C$26:$C$37,0))),INDEX('Economia'!$E$26:$E$37,MATCH(D56,'Economia'!$C$26:$C$37,0)),"No calculable")),"No calculable"))</x:f>
      </x:c>
      <x:c r="F56" s="8"/>
      <x:c r="G56" s="8"/>
      <x:c r="H56" s="14" t="str">
        <x:f>IF(COUNTA(C56:D56,F56:G56,I56:J56)=0,"",IF(AND(COUNT(E56:G56)=3,MIN(E56:G56)&gt;=0,I56&lt;&gt;"",J56="Completa"),PRODUCT(E56:G56),"No calculable"))</x:f>
      </x:c>
      <x:c r="I56" s="9"/>
      <x:c r="J56" s="9"/>
      <x:c r="K56" s="21" t="str">
        <x:f>IF(COUNTA(C56:D56,F56:G56,I56:J56)=0,"",IF(AND(AND(C56&lt;&gt;"",D56&lt;&gt;"",COUNTIFS($C$14:$C$21,C56)=1,COUNTIFS('Economia'!$C$26:$C$37,D56)=1),ISNUMBER(H56)),"Calculable","Revisar entradas"))</x:f>
      </x:c>
      <x:c r="L56" s="3"/>
      <x:c r="M56" s="3"/>
      <x:c r="N56" s="3"/>
    </x:row>
    <x:row r="57" ht="28" customHeight="1">
      <x:c r="C57" s="8"/>
      <x:c r="D57" s="8"/>
      <x:c r="E57" s="17" t="str">
        <x:f>IF(COUNTA(C57:D57,F57:G57,I57:J57)=0,"",IF(AND(C57&lt;&gt;"",D57&lt;&gt;"",COUNTIFS($C$14:$C$21,C57)=1,COUNTIFS('Economia'!$C$26:$C$37,D57)=1),IF(INDEX('Economia'!$E$26:$E$37,MATCH(D57,'Economia'!$C$26:$C$37,0))="","No calculable",IF(ISNUMBER(INDEX('Economia'!$E$26:$E$37,MATCH(D57,'Economia'!$C$26:$C$37,0))),INDEX('Economia'!$E$26:$E$37,MATCH(D57,'Economia'!$C$26:$C$37,0)),"No calculable")),"No calculable"))</x:f>
      </x:c>
      <x:c r="F57" s="8"/>
      <x:c r="G57" s="8"/>
      <x:c r="H57" s="14" t="str">
        <x:f>IF(COUNTA(C57:D57,F57:G57,I57:J57)=0,"",IF(AND(COUNT(E57:G57)=3,MIN(E57:G57)&gt;=0,I57&lt;&gt;"",J57="Completa"),PRODUCT(E57:G57),"No calculable"))</x:f>
      </x:c>
      <x:c r="I57" s="9"/>
      <x:c r="J57" s="9"/>
      <x:c r="K57" s="21" t="str">
        <x:f>IF(COUNTA(C57:D57,F57:G57,I57:J57)=0,"",IF(AND(AND(C57&lt;&gt;"",D57&lt;&gt;"",COUNTIFS($C$14:$C$21,C57)=1,COUNTIFS('Economia'!$C$26:$C$37,D57)=1),ISNUMBER(H57)),"Calculable","Revisar entradas"))</x:f>
      </x:c>
      <x:c r="L57" s="3"/>
      <x:c r="M57" s="3"/>
      <x:c r="N57" s="3"/>
    </x:row>
    <x:row r="58" ht="28" customHeight="1">
      <x:c r="C58" s="8"/>
      <x:c r="D58" s="8"/>
      <x:c r="E58" s="17" t="str">
        <x:f>IF(COUNTA(C58:D58,F58:G58,I58:J58)=0,"",IF(AND(C58&lt;&gt;"",D58&lt;&gt;"",COUNTIFS($C$14:$C$21,C58)=1,COUNTIFS('Economia'!$C$26:$C$37,D58)=1),IF(INDEX('Economia'!$E$26:$E$37,MATCH(D58,'Economia'!$C$26:$C$37,0))="","No calculable",IF(ISNUMBER(INDEX('Economia'!$E$26:$E$37,MATCH(D58,'Economia'!$C$26:$C$37,0))),INDEX('Economia'!$E$26:$E$37,MATCH(D58,'Economia'!$C$26:$C$37,0)),"No calculable")),"No calculable"))</x:f>
      </x:c>
      <x:c r="F58" s="8"/>
      <x:c r="G58" s="8"/>
      <x:c r="H58" s="14" t="str">
        <x:f>IF(COUNTA(C58:D58,F58:G58,I58:J58)=0,"",IF(AND(COUNT(E58:G58)=3,MIN(E58:G58)&gt;=0,I58&lt;&gt;"",J58="Completa"),PRODUCT(E58:G58),"No calculable"))</x:f>
      </x:c>
      <x:c r="I58" s="9"/>
      <x:c r="J58" s="9"/>
      <x:c r="K58" s="21" t="str">
        <x:f>IF(COUNTA(C58:D58,F58:G58,I58:J58)=0,"",IF(AND(AND(C58&lt;&gt;"",D58&lt;&gt;"",COUNTIFS($C$14:$C$21,C58)=1,COUNTIFS('Economia'!$C$26:$C$37,D58)=1),ISNUMBER(H58)),"Calculable","Revisar entradas"))</x:f>
      </x:c>
      <x:c r="L58" s="3"/>
      <x:c r="M58" s="3"/>
      <x:c r="N58" s="3"/>
    </x:row>
    <x:row r="59" ht="28" customHeight="1"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 ht="28" customHeight="1">
      <x:c r="C60" s="3" t="str">
        <x:v>Cobertura completa sin tareas variables declara carga variable cero; fundamentar en AF.</x:v>
      </x:c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 ht="28" customHeight="1">
      <x:c r="C61" s="3" t="str">
        <x:v>La conversión y preparación deben incorporar entrega, venta, soporte y lote pertinentes.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 ht="28" customHeight="1"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</x:sheetData>
  <x:conditionalFormatting sqref="E8:E9">
    <x:cfRule type="containsText" dxfId="6" priority="1" operator="containsText" text="Revisar"/>
    <x:cfRule type="containsText" dxfId="7" priority="2" operator="containsText" text="No calculable"/>
  </x:conditionalFormatting>
  <x:conditionalFormatting sqref="K27:K58">
    <x:cfRule type="containsText" dxfId="8" priority="3" operator="containsText" text="Revisar"/>
    <x:cfRule type="containsText" dxfId="9" priority="4" operator="containsText" text="No calculable"/>
  </x:conditionalFormatting>
  <x:conditionalFormatting sqref="N14:N21">
    <x:cfRule type="containsText" dxfId="10" priority="5" operator="containsText" text="Revisar"/>
    <x:cfRule type="containsText" dxfId="11" priority="6" operator="containsText" text="No calculable"/>
  </x:conditionalFormatting>
  <x:conditionalFormatting sqref="I14:I21">
    <x:cfRule type="cellIs" dxfId="12" priority="7" operator="lessThan">
      <x:formula>0</x:formula>
    </x:cfRule>
  </x:conditionalFormatting>
  <x:dataValidations count="3">
    <x:dataValidation type="list" sqref="E6">
      <x:formula1>"Completa,Parcial"</x:formula1>
    </x:dataValidation>
    <x:dataValidation type="list" sqref="M14:M21">
      <x:formula1>"Completa,Parcial"</x:formula1>
    </x:dataValidation>
    <x:dataValidation type="list" sqref="J27:J58">
      <x:formula1>"Completa,Parcial"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" max="1" width="2.5" hidden="0" customWidth="1"/>
    <x:col min="2" max="2" width="2.5" hidden="0" customWidth="1"/>
  </x:cols>
  <x:sheetData>
    <x:row r="2" ht="28" customHeight="1">
      <x:c r="C2" s="5" t="str">
        <x:v>Caja por eventos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8" customHeight="1">
      <x:c r="C3" s="6" t="str">
        <x:v>Go2Rev · Modelo general v0.1 · Entradas vacías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8" customHeight="1">
      <x:c r="C5" s="3" t="str">
        <x:v>Inicio del horizonte</x:v>
      </x:c>
      <x:c r="D5" s="3"/>
      <x:c r="E5" s="22"/>
      <x:c r="F5" s="3"/>
      <x:c r="G5" s="3" t="str">
        <x:v>Reserva mínima</x:v>
      </x:c>
      <x:c r="H5" s="3"/>
      <x:c r="I5" s="8"/>
      <x:c r="J5" s="3"/>
      <x:c r="K5" s="3"/>
      <x:c r="L5" s="3"/>
      <x:c r="M5" s="3"/>
    </x:row>
    <x:row r="6" ht="28" customHeight="1">
      <x:c r="C6" s="3" t="str">
        <x:v>Fin del horizonte</x:v>
      </x:c>
      <x:c r="D6" s="3"/>
      <x:c r="E6" s="22"/>
      <x:c r="F6" s="3"/>
      <x:c r="G6" s="3" t="str">
        <x:v>Cobertura de obligaciones</x:v>
      </x:c>
      <x:c r="H6" s="3"/>
      <x:c r="I6" s="8"/>
      <x:c r="J6" s="3"/>
      <x:c r="K6" s="3"/>
      <x:c r="L6" s="3"/>
      <x:c r="M6" s="3"/>
    </x:row>
    <x:row r="7" ht="28" customHeight="1">
      <x:c r="C7" s="3" t="str">
        <x:v>Saldo inicial disponible</x:v>
      </x:c>
      <x:c r="D7" s="3"/>
      <x:c r="E7" s="8"/>
      <x:c r="F7" s="3"/>
      <x:c r="G7" s="3" t="str">
        <x:v>AF / condiciones / moneda</x:v>
      </x:c>
      <x:c r="H7" s="3"/>
      <x:c r="I7" s="8"/>
      <x:c r="J7" s="3"/>
      <x:c r="K7" s="3"/>
      <x:c r="L7" s="3"/>
      <x:c r="M7" s="3"/>
    </x:row>
    <x:row r="8" ht="28" customHeight="1"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28" customHeight="1">
      <x:c r="C9" s="3" t="str">
        <x:v>Saldo mínimo, incluido inicio</x:v>
      </x:c>
      <x:c r="D9" s="3"/>
      <x:c r="E9" s="14" t="str">
        <x:f>IF(AND(COUNT(E5:E7)=3,E6&gt;=E5,I6="Completa",I7&lt;&gt;"",COUNTA(C16:C47)&gt;0,COUNT(I16:I47)=COUNTA(C16:C47),COUNTIFS(L16:L47,"Revisar entradas")=0),MIN(E7,I16:I47),"No calculable")</x:f>
        <x:v>No calculable</x:v>
      </x:c>
      <x:c r="F9" s="3"/>
      <x:c r="G9" s="3"/>
      <x:c r="H9" s="3"/>
      <x:c r="I9" s="3"/>
      <x:c r="J9" s="3"/>
      <x:c r="K9" s="3"/>
      <x:c r="L9" s="3"/>
      <x:c r="M9" s="3"/>
    </x:row>
    <x:row r="10" ht="28" customHeight="1">
      <x:c r="C10" s="3" t="str">
        <x:v>Financiación adicional necesaria</x:v>
      </x:c>
      <x:c r="D10" s="3"/>
      <x:c r="E10" s="14" t="str">
        <x:f>IF(AND(ISNUMBER(E9),ISNUMBER(I5),I5&gt;=0),MAX(0,I5-E9),"No calculable")</x:f>
        <x:v>No calculable</x:v>
      </x:c>
      <x:c r="F10" s="3"/>
      <x:c r="G10" s="3" t="str">
        <x:v>La brecha no acredita financiación disponible.</x:v>
      </x:c>
      <x:c r="H10" s="3"/>
      <x:c r="I10" s="3"/>
      <x:c r="J10" s="3"/>
      <x:c r="K10" s="3"/>
      <x:c r="L10" s="3"/>
      <x:c r="M10" s="3"/>
    </x:row>
    <x:row r="11" ht="28" customHeight="1">
      <x:c r="C11" s="3" t="str">
        <x:v>Saldo al final de eventos</x:v>
      </x:c>
      <x:c r="D11" s="3"/>
      <x:c r="E11" s="14" t="str">
        <x:f>IF(AND(COUNT(E5:E7)=3,E6&gt;=E5,I6="Completa",I7&lt;&gt;"",COUNTA(C16:C47)&gt;0,COUNT(I16:I47)=COUNTA(C16:C47),COUNTIFS(L16:L47,"Revisar entradas")=0),E7+SUM(H16:H47),"No calculable")</x:f>
        <x:v>No calculable</x:v>
      </x:c>
      <x:c r="F11" s="3"/>
      <x:c r="G11" s="3"/>
      <x:c r="H11" s="3"/>
      <x:c r="I11" s="3"/>
      <x:c r="J11" s="3"/>
      <x:c r="K11" s="3"/>
      <x:c r="L11" s="3"/>
      <x:c r="M11" s="3"/>
    </x:row>
    <x:row r="12" ht="28" customHeight="1"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 ht="28" customHeight="1"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 ht="28" customHeight="1"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 ht="42" customHeight="1">
      <x:c r="C15" s="13" t="str">
        <x:v>Evento / ID único</x:v>
      </x:c>
      <x:c r="D15" s="13" t="str">
        <x:v>Fecha</x:v>
      </x:c>
      <x:c r="E15" s="13" t="str">
        <x:v>Orden en fecha</x:v>
      </x:c>
      <x:c r="F15" s="13" t="str">
        <x:v>Cobro</x:v>
      </x:c>
      <x:c r="G15" s="13" t="str">
        <x:v>Pago</x:v>
      </x:c>
      <x:c r="H15" s="13" t="str">
        <x:v>Flujo neto</x:v>
      </x:c>
      <x:c r="I15" s="13" t="str">
        <x:v>Saldo tras evento</x:v>
      </x:c>
      <x:c r="J15" s="13" t="str">
        <x:v>AF / importe y fecha</x:v>
      </x:c>
      <x:c r="K15" s="13" t="str">
        <x:v>Condición / obligación</x:v>
      </x:c>
      <x:c r="L15" s="13" t="str">
        <x:v>Estado de fila</x:v>
      </x:c>
      <x:c r="M15" s="13" t="str">
        <x:v>Clasificación</x:v>
      </x:c>
    </x:row>
    <x:row r="16" ht="28" customHeight="1">
      <x:c r="C16" s="8"/>
      <x:c r="D16" s="22"/>
      <x:c r="E16" s="23"/>
      <x:c r="F16" s="8"/>
      <x:c r="G16" s="8"/>
      <x:c r="H16" s="14" t="str">
        <x:f>IF(COUNTA(C16:G16,J16:K16,M16)=0,"",IF(AND(C16&lt;&gt;"",COUNTIFS($C$16:$C$47,C16)=1,COUNT(D16:G16)=4,COUNT($E$5:$E$6)=2,$E$6&gt;=$E$5,D16&gt;=$E$5,D16&lt;=$E$6,E16&gt;0,E16=INT(E16),MIN(F16:G16)&gt;=0,J16&lt;&gt;"",K16&lt;&gt;"",M16&lt;&gt;"",TRUE),F16-G16,"No calculable"))</x:f>
      </x:c>
      <x:c r="I16" s="14" t="str">
        <x:f>IF(COUNTA(C16:G16,J16:K16,M16)=0,"",IF(AND(ISNUMBER(H16),ISNUMBER($E$7)),$E$7+H16,"No calculable"))</x:f>
      </x:c>
      <x:c r="J16" s="9"/>
      <x:c r="K16" s="9"/>
      <x:c r="L16" s="16" t="str">
        <x:f>IF(COUNTA(C16:G16,J16:K16,M16)=0,"",IF(ISNUMBER(I16),"Calculable","Revisar entradas"))</x:f>
      </x:c>
      <x:c r="M16" s="9"/>
    </x:row>
    <x:row r="17" ht="28" customHeight="1">
      <x:c r="C17" s="8"/>
      <x:c r="D17" s="22"/>
      <x:c r="E17" s="23"/>
      <x:c r="F17" s="8"/>
      <x:c r="G17" s="8"/>
      <x:c r="H17" s="14" t="str">
        <x:f>IF(COUNTA(C17:G17,J17:K17,M17)=0,"",IF(AND(C17&lt;&gt;"",COUNTIFS($C$16:$C$47,C17)=1,COUNT(D17:G17)=4,COUNT($E$5:$E$6)=2,$E$6&gt;=$E$5,D17&gt;=$E$5,D17&lt;=$E$6,E17&gt;0,E17=INT(E17),MIN(F17:G17)&gt;=0,J17&lt;&gt;"",K17&lt;&gt;"",M17&lt;&gt;"",AND(C16&lt;&gt;"",ISNUMBER(D16),ISNUMBER(E16),OR(D17&gt;D16,AND(D17=D16,E17&gt;E16)))),F17-G17,"No calculable"))</x:f>
      </x:c>
      <x:c r="I17" s="14" t="str">
        <x:f>IF(COUNTA(C17:G17,J17:K17,M17)=0,"",IF(AND(ISNUMBER(H17),ISNUMBER(I16)),I16+H17,"No calculable"))</x:f>
      </x:c>
      <x:c r="J17" s="9"/>
      <x:c r="K17" s="9"/>
      <x:c r="L17" s="16" t="str">
        <x:f>IF(COUNTA(C17:G17,J17:K17,M17)=0,"",IF(ISNUMBER(I17),"Calculable","Revisar entradas"))</x:f>
      </x:c>
      <x:c r="M17" s="9"/>
    </x:row>
    <x:row r="18" ht="28" customHeight="1">
      <x:c r="C18" s="8"/>
      <x:c r="D18" s="22"/>
      <x:c r="E18" s="23"/>
      <x:c r="F18" s="8"/>
      <x:c r="G18" s="8"/>
      <x:c r="H18" s="14" t="str">
        <x:f>IF(COUNTA(C18:G18,J18:K18,M18)=0,"",IF(AND(C18&lt;&gt;"",COUNTIFS($C$16:$C$47,C18)=1,COUNT(D18:G18)=4,COUNT($E$5:$E$6)=2,$E$6&gt;=$E$5,D18&gt;=$E$5,D18&lt;=$E$6,E18&gt;0,E18=INT(E18),MIN(F18:G18)&gt;=0,J18&lt;&gt;"",K18&lt;&gt;"",M18&lt;&gt;"",AND(C17&lt;&gt;"",ISNUMBER(D17),ISNUMBER(E17),OR(D18&gt;D17,AND(D18=D17,E18&gt;E17)))),F18-G18,"No calculable"))</x:f>
      </x:c>
      <x:c r="I18" s="14" t="str">
        <x:f>IF(COUNTA(C18:G18,J18:K18,M18)=0,"",IF(AND(ISNUMBER(H18),ISNUMBER(I17)),I17+H18,"No calculable"))</x:f>
      </x:c>
      <x:c r="J18" s="9"/>
      <x:c r="K18" s="9"/>
      <x:c r="L18" s="16" t="str">
        <x:f>IF(COUNTA(C18:G18,J18:K18,M18)=0,"",IF(ISNUMBER(I18),"Calculable","Revisar entradas"))</x:f>
      </x:c>
      <x:c r="M18" s="9"/>
    </x:row>
    <x:row r="19" ht="28" customHeight="1">
      <x:c r="C19" s="8"/>
      <x:c r="D19" s="22"/>
      <x:c r="E19" s="23"/>
      <x:c r="F19" s="8"/>
      <x:c r="G19" s="8"/>
      <x:c r="H19" s="14" t="str">
        <x:f>IF(COUNTA(C19:G19,J19:K19,M19)=0,"",IF(AND(C19&lt;&gt;"",COUNTIFS($C$16:$C$47,C19)=1,COUNT(D19:G19)=4,COUNT($E$5:$E$6)=2,$E$6&gt;=$E$5,D19&gt;=$E$5,D19&lt;=$E$6,E19&gt;0,E19=INT(E19),MIN(F19:G19)&gt;=0,J19&lt;&gt;"",K19&lt;&gt;"",M19&lt;&gt;"",AND(C18&lt;&gt;"",ISNUMBER(D18),ISNUMBER(E18),OR(D19&gt;D18,AND(D19=D18,E19&gt;E18)))),F19-G19,"No calculable"))</x:f>
      </x:c>
      <x:c r="I19" s="14" t="str">
        <x:f>IF(COUNTA(C19:G19,J19:K19,M19)=0,"",IF(AND(ISNUMBER(H19),ISNUMBER(I18)),I18+H19,"No calculable"))</x:f>
      </x:c>
      <x:c r="J19" s="9"/>
      <x:c r="K19" s="9"/>
      <x:c r="L19" s="16" t="str">
        <x:f>IF(COUNTA(C19:G19,J19:K19,M19)=0,"",IF(ISNUMBER(I19),"Calculable","Revisar entradas"))</x:f>
      </x:c>
      <x:c r="M19" s="9"/>
    </x:row>
    <x:row r="20" ht="28" customHeight="1">
      <x:c r="C20" s="8"/>
      <x:c r="D20" s="22"/>
      <x:c r="E20" s="23"/>
      <x:c r="F20" s="8"/>
      <x:c r="G20" s="8"/>
      <x:c r="H20" s="14" t="str">
        <x:f>IF(COUNTA(C20:G20,J20:K20,M20)=0,"",IF(AND(C20&lt;&gt;"",COUNTIFS($C$16:$C$47,C20)=1,COUNT(D20:G20)=4,COUNT($E$5:$E$6)=2,$E$6&gt;=$E$5,D20&gt;=$E$5,D20&lt;=$E$6,E20&gt;0,E20=INT(E20),MIN(F20:G20)&gt;=0,J20&lt;&gt;"",K20&lt;&gt;"",M20&lt;&gt;"",AND(C19&lt;&gt;"",ISNUMBER(D19),ISNUMBER(E19),OR(D20&gt;D19,AND(D20=D19,E20&gt;E19)))),F20-G20,"No calculable"))</x:f>
      </x:c>
      <x:c r="I20" s="14" t="str">
        <x:f>IF(COUNTA(C20:G20,J20:K20,M20)=0,"",IF(AND(ISNUMBER(H20),ISNUMBER(I19)),I19+H20,"No calculable"))</x:f>
      </x:c>
      <x:c r="J20" s="9"/>
      <x:c r="K20" s="9"/>
      <x:c r="L20" s="16" t="str">
        <x:f>IF(COUNTA(C20:G20,J20:K20,M20)=0,"",IF(ISNUMBER(I20),"Calculable","Revisar entradas"))</x:f>
      </x:c>
      <x:c r="M20" s="9"/>
    </x:row>
    <x:row r="21" ht="28" customHeight="1">
      <x:c r="C21" s="8"/>
      <x:c r="D21" s="22"/>
      <x:c r="E21" s="23"/>
      <x:c r="F21" s="8"/>
      <x:c r="G21" s="8"/>
      <x:c r="H21" s="14" t="str">
        <x:f>IF(COUNTA(C21:G21,J21:K21,M21)=0,"",IF(AND(C21&lt;&gt;"",COUNTIFS($C$16:$C$47,C21)=1,COUNT(D21:G21)=4,COUNT($E$5:$E$6)=2,$E$6&gt;=$E$5,D21&gt;=$E$5,D21&lt;=$E$6,E21&gt;0,E21=INT(E21),MIN(F21:G21)&gt;=0,J21&lt;&gt;"",K21&lt;&gt;"",M21&lt;&gt;"",AND(C20&lt;&gt;"",ISNUMBER(D20),ISNUMBER(E20),OR(D21&gt;D20,AND(D21=D20,E21&gt;E20)))),F21-G21,"No calculable"))</x:f>
      </x:c>
      <x:c r="I21" s="14" t="str">
        <x:f>IF(COUNTA(C21:G21,J21:K21,M21)=0,"",IF(AND(ISNUMBER(H21),ISNUMBER(I20)),I20+H21,"No calculable"))</x:f>
      </x:c>
      <x:c r="J21" s="9"/>
      <x:c r="K21" s="9"/>
      <x:c r="L21" s="16" t="str">
        <x:f>IF(COUNTA(C21:G21,J21:K21,M21)=0,"",IF(ISNUMBER(I21),"Calculable","Revisar entradas"))</x:f>
      </x:c>
      <x:c r="M21" s="9"/>
    </x:row>
    <x:row r="22" ht="28" customHeight="1">
      <x:c r="C22" s="8"/>
      <x:c r="D22" s="22"/>
      <x:c r="E22" s="23"/>
      <x:c r="F22" s="8"/>
      <x:c r="G22" s="8"/>
      <x:c r="H22" s="14" t="str">
        <x:f>IF(COUNTA(C22:G22,J22:K22,M22)=0,"",IF(AND(C22&lt;&gt;"",COUNTIFS($C$16:$C$47,C22)=1,COUNT(D22:G22)=4,COUNT($E$5:$E$6)=2,$E$6&gt;=$E$5,D22&gt;=$E$5,D22&lt;=$E$6,E22&gt;0,E22=INT(E22),MIN(F22:G22)&gt;=0,J22&lt;&gt;"",K22&lt;&gt;"",M22&lt;&gt;"",AND(C21&lt;&gt;"",ISNUMBER(D21),ISNUMBER(E21),OR(D22&gt;D21,AND(D22=D21,E22&gt;E21)))),F22-G22,"No calculable"))</x:f>
      </x:c>
      <x:c r="I22" s="14" t="str">
        <x:f>IF(COUNTA(C22:G22,J22:K22,M22)=0,"",IF(AND(ISNUMBER(H22),ISNUMBER(I21)),I21+H22,"No calculable"))</x:f>
      </x:c>
      <x:c r="J22" s="9"/>
      <x:c r="K22" s="9"/>
      <x:c r="L22" s="16" t="str">
        <x:f>IF(COUNTA(C22:G22,J22:K22,M22)=0,"",IF(ISNUMBER(I22),"Calculable","Revisar entradas"))</x:f>
      </x:c>
      <x:c r="M22" s="9"/>
    </x:row>
    <x:row r="23" ht="28" customHeight="1">
      <x:c r="C23" s="8"/>
      <x:c r="D23" s="22"/>
      <x:c r="E23" s="23"/>
      <x:c r="F23" s="8"/>
      <x:c r="G23" s="8"/>
      <x:c r="H23" s="14" t="str">
        <x:f>IF(COUNTA(C23:G23,J23:K23,M23)=0,"",IF(AND(C23&lt;&gt;"",COUNTIFS($C$16:$C$47,C23)=1,COUNT(D23:G23)=4,COUNT($E$5:$E$6)=2,$E$6&gt;=$E$5,D23&gt;=$E$5,D23&lt;=$E$6,E23&gt;0,E23=INT(E23),MIN(F23:G23)&gt;=0,J23&lt;&gt;"",K23&lt;&gt;"",M23&lt;&gt;"",AND(C22&lt;&gt;"",ISNUMBER(D22),ISNUMBER(E22),OR(D23&gt;D22,AND(D23=D22,E23&gt;E22)))),F23-G23,"No calculable"))</x:f>
      </x:c>
      <x:c r="I23" s="14" t="str">
        <x:f>IF(COUNTA(C23:G23,J23:K23,M23)=0,"",IF(AND(ISNUMBER(H23),ISNUMBER(I22)),I22+H23,"No calculable"))</x:f>
      </x:c>
      <x:c r="J23" s="9"/>
      <x:c r="K23" s="9"/>
      <x:c r="L23" s="16" t="str">
        <x:f>IF(COUNTA(C23:G23,J23:K23,M23)=0,"",IF(ISNUMBER(I23),"Calculable","Revisar entradas"))</x:f>
      </x:c>
      <x:c r="M23" s="9"/>
    </x:row>
    <x:row r="24" ht="28" customHeight="1">
      <x:c r="C24" s="8"/>
      <x:c r="D24" s="22"/>
      <x:c r="E24" s="23"/>
      <x:c r="F24" s="8"/>
      <x:c r="G24" s="8"/>
      <x:c r="H24" s="14" t="str">
        <x:f>IF(COUNTA(C24:G24,J24:K24,M24)=0,"",IF(AND(C24&lt;&gt;"",COUNTIFS($C$16:$C$47,C24)=1,COUNT(D24:G24)=4,COUNT($E$5:$E$6)=2,$E$6&gt;=$E$5,D24&gt;=$E$5,D24&lt;=$E$6,E24&gt;0,E24=INT(E24),MIN(F24:G24)&gt;=0,J24&lt;&gt;"",K24&lt;&gt;"",M24&lt;&gt;"",AND(C23&lt;&gt;"",ISNUMBER(D23),ISNUMBER(E23),OR(D24&gt;D23,AND(D24=D23,E24&gt;E23)))),F24-G24,"No calculable"))</x:f>
      </x:c>
      <x:c r="I24" s="14" t="str">
        <x:f>IF(COUNTA(C24:G24,J24:K24,M24)=0,"",IF(AND(ISNUMBER(H24),ISNUMBER(I23)),I23+H24,"No calculable"))</x:f>
      </x:c>
      <x:c r="J24" s="9"/>
      <x:c r="K24" s="9"/>
      <x:c r="L24" s="16" t="str">
        <x:f>IF(COUNTA(C24:G24,J24:K24,M24)=0,"",IF(ISNUMBER(I24),"Calculable","Revisar entradas"))</x:f>
      </x:c>
      <x:c r="M24" s="9"/>
    </x:row>
    <x:row r="25" ht="28" customHeight="1">
      <x:c r="C25" s="8"/>
      <x:c r="D25" s="22"/>
      <x:c r="E25" s="23"/>
      <x:c r="F25" s="8"/>
      <x:c r="G25" s="8"/>
      <x:c r="H25" s="14" t="str">
        <x:f>IF(COUNTA(C25:G25,J25:K25,M25)=0,"",IF(AND(C25&lt;&gt;"",COUNTIFS($C$16:$C$47,C25)=1,COUNT(D25:G25)=4,COUNT($E$5:$E$6)=2,$E$6&gt;=$E$5,D25&gt;=$E$5,D25&lt;=$E$6,E25&gt;0,E25=INT(E25),MIN(F25:G25)&gt;=0,J25&lt;&gt;"",K25&lt;&gt;"",M25&lt;&gt;"",AND(C24&lt;&gt;"",ISNUMBER(D24),ISNUMBER(E24),OR(D25&gt;D24,AND(D25=D24,E25&gt;E24)))),F25-G25,"No calculable"))</x:f>
      </x:c>
      <x:c r="I25" s="14" t="str">
        <x:f>IF(COUNTA(C25:G25,J25:K25,M25)=0,"",IF(AND(ISNUMBER(H25),ISNUMBER(I24)),I24+H25,"No calculable"))</x:f>
      </x:c>
      <x:c r="J25" s="9"/>
      <x:c r="K25" s="9"/>
      <x:c r="L25" s="16" t="str">
        <x:f>IF(COUNTA(C25:G25,J25:K25,M25)=0,"",IF(ISNUMBER(I25),"Calculable","Revisar entradas"))</x:f>
      </x:c>
      <x:c r="M25" s="9"/>
    </x:row>
    <x:row r="26" ht="28" customHeight="1">
      <x:c r="C26" s="8"/>
      <x:c r="D26" s="22"/>
      <x:c r="E26" s="23"/>
      <x:c r="F26" s="8"/>
      <x:c r="G26" s="8"/>
      <x:c r="H26" s="14" t="str">
        <x:f>IF(COUNTA(C26:G26,J26:K26,M26)=0,"",IF(AND(C26&lt;&gt;"",COUNTIFS($C$16:$C$47,C26)=1,COUNT(D26:G26)=4,COUNT($E$5:$E$6)=2,$E$6&gt;=$E$5,D26&gt;=$E$5,D26&lt;=$E$6,E26&gt;0,E26=INT(E26),MIN(F26:G26)&gt;=0,J26&lt;&gt;"",K26&lt;&gt;"",M26&lt;&gt;"",AND(C25&lt;&gt;"",ISNUMBER(D25),ISNUMBER(E25),OR(D26&gt;D25,AND(D26=D25,E26&gt;E25)))),F26-G26,"No calculable"))</x:f>
      </x:c>
      <x:c r="I26" s="14" t="str">
        <x:f>IF(COUNTA(C26:G26,J26:K26,M26)=0,"",IF(AND(ISNUMBER(H26),ISNUMBER(I25)),I25+H26,"No calculable"))</x:f>
      </x:c>
      <x:c r="J26" s="9"/>
      <x:c r="K26" s="9"/>
      <x:c r="L26" s="16" t="str">
        <x:f>IF(COUNTA(C26:G26,J26:K26,M26)=0,"",IF(ISNUMBER(I26),"Calculable","Revisar entradas"))</x:f>
      </x:c>
      <x:c r="M26" s="9"/>
    </x:row>
    <x:row r="27" ht="28" customHeight="1">
      <x:c r="C27" s="8"/>
      <x:c r="D27" s="22"/>
      <x:c r="E27" s="23"/>
      <x:c r="F27" s="8"/>
      <x:c r="G27" s="8"/>
      <x:c r="H27" s="14" t="str">
        <x:f>IF(COUNTA(C27:G27,J27:K27,M27)=0,"",IF(AND(C27&lt;&gt;"",COUNTIFS($C$16:$C$47,C27)=1,COUNT(D27:G27)=4,COUNT($E$5:$E$6)=2,$E$6&gt;=$E$5,D27&gt;=$E$5,D27&lt;=$E$6,E27&gt;0,E27=INT(E27),MIN(F27:G27)&gt;=0,J27&lt;&gt;"",K27&lt;&gt;"",M27&lt;&gt;"",AND(C26&lt;&gt;"",ISNUMBER(D26),ISNUMBER(E26),OR(D27&gt;D26,AND(D27=D26,E27&gt;E26)))),F27-G27,"No calculable"))</x:f>
      </x:c>
      <x:c r="I27" s="14" t="str">
        <x:f>IF(COUNTA(C27:G27,J27:K27,M27)=0,"",IF(AND(ISNUMBER(H27),ISNUMBER(I26)),I26+H27,"No calculable"))</x:f>
      </x:c>
      <x:c r="J27" s="9"/>
      <x:c r="K27" s="9"/>
      <x:c r="L27" s="16" t="str">
        <x:f>IF(COUNTA(C27:G27,J27:K27,M27)=0,"",IF(ISNUMBER(I27),"Calculable","Revisar entradas"))</x:f>
      </x:c>
      <x:c r="M27" s="9"/>
    </x:row>
    <x:row r="28" ht="28" customHeight="1">
      <x:c r="C28" s="8"/>
      <x:c r="D28" s="22"/>
      <x:c r="E28" s="23"/>
      <x:c r="F28" s="8"/>
      <x:c r="G28" s="8"/>
      <x:c r="H28" s="14" t="str">
        <x:f>IF(COUNTA(C28:G28,J28:K28,M28)=0,"",IF(AND(C28&lt;&gt;"",COUNTIFS($C$16:$C$47,C28)=1,COUNT(D28:G28)=4,COUNT($E$5:$E$6)=2,$E$6&gt;=$E$5,D28&gt;=$E$5,D28&lt;=$E$6,E28&gt;0,E28=INT(E28),MIN(F28:G28)&gt;=0,J28&lt;&gt;"",K28&lt;&gt;"",M28&lt;&gt;"",AND(C27&lt;&gt;"",ISNUMBER(D27),ISNUMBER(E27),OR(D28&gt;D27,AND(D28=D27,E28&gt;E27)))),F28-G28,"No calculable"))</x:f>
      </x:c>
      <x:c r="I28" s="14" t="str">
        <x:f>IF(COUNTA(C28:G28,J28:K28,M28)=0,"",IF(AND(ISNUMBER(H28),ISNUMBER(I27)),I27+H28,"No calculable"))</x:f>
      </x:c>
      <x:c r="J28" s="9"/>
      <x:c r="K28" s="9"/>
      <x:c r="L28" s="16" t="str">
        <x:f>IF(COUNTA(C28:G28,J28:K28,M28)=0,"",IF(ISNUMBER(I28),"Calculable","Revisar entradas"))</x:f>
      </x:c>
      <x:c r="M28" s="9"/>
    </x:row>
    <x:row r="29" ht="28" customHeight="1">
      <x:c r="C29" s="8"/>
      <x:c r="D29" s="22"/>
      <x:c r="E29" s="23"/>
      <x:c r="F29" s="8"/>
      <x:c r="G29" s="8"/>
      <x:c r="H29" s="14" t="str">
        <x:f>IF(COUNTA(C29:G29,J29:K29,M29)=0,"",IF(AND(C29&lt;&gt;"",COUNTIFS($C$16:$C$47,C29)=1,COUNT(D29:G29)=4,COUNT($E$5:$E$6)=2,$E$6&gt;=$E$5,D29&gt;=$E$5,D29&lt;=$E$6,E29&gt;0,E29=INT(E29),MIN(F29:G29)&gt;=0,J29&lt;&gt;"",K29&lt;&gt;"",M29&lt;&gt;"",AND(C28&lt;&gt;"",ISNUMBER(D28),ISNUMBER(E28),OR(D29&gt;D28,AND(D29=D28,E29&gt;E28)))),F29-G29,"No calculable"))</x:f>
      </x:c>
      <x:c r="I29" s="14" t="str">
        <x:f>IF(COUNTA(C29:G29,J29:K29,M29)=0,"",IF(AND(ISNUMBER(H29),ISNUMBER(I28)),I28+H29,"No calculable"))</x:f>
      </x:c>
      <x:c r="J29" s="9"/>
      <x:c r="K29" s="9"/>
      <x:c r="L29" s="16" t="str">
        <x:f>IF(COUNTA(C29:G29,J29:K29,M29)=0,"",IF(ISNUMBER(I29),"Calculable","Revisar entradas"))</x:f>
      </x:c>
      <x:c r="M29" s="9"/>
    </x:row>
    <x:row r="30" ht="28" customHeight="1">
      <x:c r="C30" s="8"/>
      <x:c r="D30" s="22"/>
      <x:c r="E30" s="23"/>
      <x:c r="F30" s="8"/>
      <x:c r="G30" s="8"/>
      <x:c r="H30" s="14" t="str">
        <x:f>IF(COUNTA(C30:G30,J30:K30,M30)=0,"",IF(AND(C30&lt;&gt;"",COUNTIFS($C$16:$C$47,C30)=1,COUNT(D30:G30)=4,COUNT($E$5:$E$6)=2,$E$6&gt;=$E$5,D30&gt;=$E$5,D30&lt;=$E$6,E30&gt;0,E30=INT(E30),MIN(F30:G30)&gt;=0,J30&lt;&gt;"",K30&lt;&gt;"",M30&lt;&gt;"",AND(C29&lt;&gt;"",ISNUMBER(D29),ISNUMBER(E29),OR(D30&gt;D29,AND(D30=D29,E30&gt;E29)))),F30-G30,"No calculable"))</x:f>
      </x:c>
      <x:c r="I30" s="14" t="str">
        <x:f>IF(COUNTA(C30:G30,J30:K30,M30)=0,"",IF(AND(ISNUMBER(H30),ISNUMBER(I29)),I29+H30,"No calculable"))</x:f>
      </x:c>
      <x:c r="J30" s="9"/>
      <x:c r="K30" s="9"/>
      <x:c r="L30" s="16" t="str">
        <x:f>IF(COUNTA(C30:G30,J30:K30,M30)=0,"",IF(ISNUMBER(I30),"Calculable","Revisar entradas"))</x:f>
      </x:c>
      <x:c r="M30" s="9"/>
    </x:row>
    <x:row r="31" ht="28" customHeight="1">
      <x:c r="C31" s="8"/>
      <x:c r="D31" s="22"/>
      <x:c r="E31" s="23"/>
      <x:c r="F31" s="8"/>
      <x:c r="G31" s="8"/>
      <x:c r="H31" s="14" t="str">
        <x:f>IF(COUNTA(C31:G31,J31:K31,M31)=0,"",IF(AND(C31&lt;&gt;"",COUNTIFS($C$16:$C$47,C31)=1,COUNT(D31:G31)=4,COUNT($E$5:$E$6)=2,$E$6&gt;=$E$5,D31&gt;=$E$5,D31&lt;=$E$6,E31&gt;0,E31=INT(E31),MIN(F31:G31)&gt;=0,J31&lt;&gt;"",K31&lt;&gt;"",M31&lt;&gt;"",AND(C30&lt;&gt;"",ISNUMBER(D30),ISNUMBER(E30),OR(D31&gt;D30,AND(D31=D30,E31&gt;E30)))),F31-G31,"No calculable"))</x:f>
      </x:c>
      <x:c r="I31" s="14" t="str">
        <x:f>IF(COUNTA(C31:G31,J31:K31,M31)=0,"",IF(AND(ISNUMBER(H31),ISNUMBER(I30)),I30+H31,"No calculable"))</x:f>
      </x:c>
      <x:c r="J31" s="9"/>
      <x:c r="K31" s="9"/>
      <x:c r="L31" s="16" t="str">
        <x:f>IF(COUNTA(C31:G31,J31:K31,M31)=0,"",IF(ISNUMBER(I31),"Calculable","Revisar entradas"))</x:f>
      </x:c>
      <x:c r="M31" s="9"/>
    </x:row>
    <x:row r="32" ht="28" customHeight="1">
      <x:c r="C32" s="8"/>
      <x:c r="D32" s="22"/>
      <x:c r="E32" s="23"/>
      <x:c r="F32" s="8"/>
      <x:c r="G32" s="8"/>
      <x:c r="H32" s="14" t="str">
        <x:f>IF(COUNTA(C32:G32,J32:K32,M32)=0,"",IF(AND(C32&lt;&gt;"",COUNTIFS($C$16:$C$47,C32)=1,COUNT(D32:G32)=4,COUNT($E$5:$E$6)=2,$E$6&gt;=$E$5,D32&gt;=$E$5,D32&lt;=$E$6,E32&gt;0,E32=INT(E32),MIN(F32:G32)&gt;=0,J32&lt;&gt;"",K32&lt;&gt;"",M32&lt;&gt;"",AND(C31&lt;&gt;"",ISNUMBER(D31),ISNUMBER(E31),OR(D32&gt;D31,AND(D32=D31,E32&gt;E31)))),F32-G32,"No calculable"))</x:f>
      </x:c>
      <x:c r="I32" s="14" t="str">
        <x:f>IF(COUNTA(C32:G32,J32:K32,M32)=0,"",IF(AND(ISNUMBER(H32),ISNUMBER(I31)),I31+H32,"No calculable"))</x:f>
      </x:c>
      <x:c r="J32" s="9"/>
      <x:c r="K32" s="9"/>
      <x:c r="L32" s="16" t="str">
        <x:f>IF(COUNTA(C32:G32,J32:K32,M32)=0,"",IF(ISNUMBER(I32),"Calculable","Revisar entradas"))</x:f>
      </x:c>
      <x:c r="M32" s="9"/>
    </x:row>
    <x:row r="33" ht="28" customHeight="1">
      <x:c r="C33" s="8"/>
      <x:c r="D33" s="22"/>
      <x:c r="E33" s="23"/>
      <x:c r="F33" s="8"/>
      <x:c r="G33" s="8"/>
      <x:c r="H33" s="14" t="str">
        <x:f>IF(COUNTA(C33:G33,J33:K33,M33)=0,"",IF(AND(C33&lt;&gt;"",COUNTIFS($C$16:$C$47,C33)=1,COUNT(D33:G33)=4,COUNT($E$5:$E$6)=2,$E$6&gt;=$E$5,D33&gt;=$E$5,D33&lt;=$E$6,E33&gt;0,E33=INT(E33),MIN(F33:G33)&gt;=0,J33&lt;&gt;"",K33&lt;&gt;"",M33&lt;&gt;"",AND(C32&lt;&gt;"",ISNUMBER(D32),ISNUMBER(E32),OR(D33&gt;D32,AND(D33=D32,E33&gt;E32)))),F33-G33,"No calculable"))</x:f>
      </x:c>
      <x:c r="I33" s="14" t="str">
        <x:f>IF(COUNTA(C33:G33,J33:K33,M33)=0,"",IF(AND(ISNUMBER(H33),ISNUMBER(I32)),I32+H33,"No calculable"))</x:f>
      </x:c>
      <x:c r="J33" s="9"/>
      <x:c r="K33" s="9"/>
      <x:c r="L33" s="16" t="str">
        <x:f>IF(COUNTA(C33:G33,J33:K33,M33)=0,"",IF(ISNUMBER(I33),"Calculable","Revisar entradas"))</x:f>
      </x:c>
      <x:c r="M33" s="9"/>
    </x:row>
    <x:row r="34" ht="28" customHeight="1">
      <x:c r="C34" s="8"/>
      <x:c r="D34" s="22"/>
      <x:c r="E34" s="23"/>
      <x:c r="F34" s="8"/>
      <x:c r="G34" s="8"/>
      <x:c r="H34" s="14" t="str">
        <x:f>IF(COUNTA(C34:G34,J34:K34,M34)=0,"",IF(AND(C34&lt;&gt;"",COUNTIFS($C$16:$C$47,C34)=1,COUNT(D34:G34)=4,COUNT($E$5:$E$6)=2,$E$6&gt;=$E$5,D34&gt;=$E$5,D34&lt;=$E$6,E34&gt;0,E34=INT(E34),MIN(F34:G34)&gt;=0,J34&lt;&gt;"",K34&lt;&gt;"",M34&lt;&gt;"",AND(C33&lt;&gt;"",ISNUMBER(D33),ISNUMBER(E33),OR(D34&gt;D33,AND(D34=D33,E34&gt;E33)))),F34-G34,"No calculable"))</x:f>
      </x:c>
      <x:c r="I34" s="14" t="str">
        <x:f>IF(COUNTA(C34:G34,J34:K34,M34)=0,"",IF(AND(ISNUMBER(H34),ISNUMBER(I33)),I33+H34,"No calculable"))</x:f>
      </x:c>
      <x:c r="J34" s="9"/>
      <x:c r="K34" s="9"/>
      <x:c r="L34" s="16" t="str">
        <x:f>IF(COUNTA(C34:G34,J34:K34,M34)=0,"",IF(ISNUMBER(I34),"Calculable","Revisar entradas"))</x:f>
      </x:c>
      <x:c r="M34" s="9"/>
    </x:row>
    <x:row r="35" ht="28" customHeight="1">
      <x:c r="C35" s="8"/>
      <x:c r="D35" s="22"/>
      <x:c r="E35" s="23"/>
      <x:c r="F35" s="8"/>
      <x:c r="G35" s="8"/>
      <x:c r="H35" s="14" t="str">
        <x:f>IF(COUNTA(C35:G35,J35:K35,M35)=0,"",IF(AND(C35&lt;&gt;"",COUNTIFS($C$16:$C$47,C35)=1,COUNT(D35:G35)=4,COUNT($E$5:$E$6)=2,$E$6&gt;=$E$5,D35&gt;=$E$5,D35&lt;=$E$6,E35&gt;0,E35=INT(E35),MIN(F35:G35)&gt;=0,J35&lt;&gt;"",K35&lt;&gt;"",M35&lt;&gt;"",AND(C34&lt;&gt;"",ISNUMBER(D34),ISNUMBER(E34),OR(D35&gt;D34,AND(D35=D34,E35&gt;E34)))),F35-G35,"No calculable"))</x:f>
      </x:c>
      <x:c r="I35" s="14" t="str">
        <x:f>IF(COUNTA(C35:G35,J35:K35,M35)=0,"",IF(AND(ISNUMBER(H35),ISNUMBER(I34)),I34+H35,"No calculable"))</x:f>
      </x:c>
      <x:c r="J35" s="9"/>
      <x:c r="K35" s="9"/>
      <x:c r="L35" s="16" t="str">
        <x:f>IF(COUNTA(C35:G35,J35:K35,M35)=0,"",IF(ISNUMBER(I35),"Calculable","Revisar entradas"))</x:f>
      </x:c>
      <x:c r="M35" s="9"/>
    </x:row>
    <x:row r="36" ht="28" customHeight="1">
      <x:c r="C36" s="8"/>
      <x:c r="D36" s="22"/>
      <x:c r="E36" s="23"/>
      <x:c r="F36" s="8"/>
      <x:c r="G36" s="8"/>
      <x:c r="H36" s="14" t="str">
        <x:f>IF(COUNTA(C36:G36,J36:K36,M36)=0,"",IF(AND(C36&lt;&gt;"",COUNTIFS($C$16:$C$47,C36)=1,COUNT(D36:G36)=4,COUNT($E$5:$E$6)=2,$E$6&gt;=$E$5,D36&gt;=$E$5,D36&lt;=$E$6,E36&gt;0,E36=INT(E36),MIN(F36:G36)&gt;=0,J36&lt;&gt;"",K36&lt;&gt;"",M36&lt;&gt;"",AND(C35&lt;&gt;"",ISNUMBER(D35),ISNUMBER(E35),OR(D36&gt;D35,AND(D36=D35,E36&gt;E35)))),F36-G36,"No calculable"))</x:f>
      </x:c>
      <x:c r="I36" s="14" t="str">
        <x:f>IF(COUNTA(C36:G36,J36:K36,M36)=0,"",IF(AND(ISNUMBER(H36),ISNUMBER(I35)),I35+H36,"No calculable"))</x:f>
      </x:c>
      <x:c r="J36" s="9"/>
      <x:c r="K36" s="9"/>
      <x:c r="L36" s="16" t="str">
        <x:f>IF(COUNTA(C36:G36,J36:K36,M36)=0,"",IF(ISNUMBER(I36),"Calculable","Revisar entradas"))</x:f>
      </x:c>
      <x:c r="M36" s="9"/>
    </x:row>
    <x:row r="37" ht="28" customHeight="1">
      <x:c r="C37" s="8"/>
      <x:c r="D37" s="22"/>
      <x:c r="E37" s="23"/>
      <x:c r="F37" s="8"/>
      <x:c r="G37" s="8"/>
      <x:c r="H37" s="14" t="str">
        <x:f>IF(COUNTA(C37:G37,J37:K37,M37)=0,"",IF(AND(C37&lt;&gt;"",COUNTIFS($C$16:$C$47,C37)=1,COUNT(D37:G37)=4,COUNT($E$5:$E$6)=2,$E$6&gt;=$E$5,D37&gt;=$E$5,D37&lt;=$E$6,E37&gt;0,E37=INT(E37),MIN(F37:G37)&gt;=0,J37&lt;&gt;"",K37&lt;&gt;"",M37&lt;&gt;"",AND(C36&lt;&gt;"",ISNUMBER(D36),ISNUMBER(E36),OR(D37&gt;D36,AND(D37=D36,E37&gt;E36)))),F37-G37,"No calculable"))</x:f>
      </x:c>
      <x:c r="I37" s="14" t="str">
        <x:f>IF(COUNTA(C37:G37,J37:K37,M37)=0,"",IF(AND(ISNUMBER(H37),ISNUMBER(I36)),I36+H37,"No calculable"))</x:f>
      </x:c>
      <x:c r="J37" s="9"/>
      <x:c r="K37" s="9"/>
      <x:c r="L37" s="16" t="str">
        <x:f>IF(COUNTA(C37:G37,J37:K37,M37)=0,"",IF(ISNUMBER(I37),"Calculable","Revisar entradas"))</x:f>
      </x:c>
      <x:c r="M37" s="9"/>
    </x:row>
    <x:row r="38" ht="28" customHeight="1">
      <x:c r="C38" s="8"/>
      <x:c r="D38" s="22"/>
      <x:c r="E38" s="23"/>
      <x:c r="F38" s="8"/>
      <x:c r="G38" s="8"/>
      <x:c r="H38" s="14" t="str">
        <x:f>IF(COUNTA(C38:G38,J38:K38,M38)=0,"",IF(AND(C38&lt;&gt;"",COUNTIFS($C$16:$C$47,C38)=1,COUNT(D38:G38)=4,COUNT($E$5:$E$6)=2,$E$6&gt;=$E$5,D38&gt;=$E$5,D38&lt;=$E$6,E38&gt;0,E38=INT(E38),MIN(F38:G38)&gt;=0,J38&lt;&gt;"",K38&lt;&gt;"",M38&lt;&gt;"",AND(C37&lt;&gt;"",ISNUMBER(D37),ISNUMBER(E37),OR(D38&gt;D37,AND(D38=D37,E38&gt;E37)))),F38-G38,"No calculable"))</x:f>
      </x:c>
      <x:c r="I38" s="14" t="str">
        <x:f>IF(COUNTA(C38:G38,J38:K38,M38)=0,"",IF(AND(ISNUMBER(H38),ISNUMBER(I37)),I37+H38,"No calculable"))</x:f>
      </x:c>
      <x:c r="J38" s="9"/>
      <x:c r="K38" s="9"/>
      <x:c r="L38" s="16" t="str">
        <x:f>IF(COUNTA(C38:G38,J38:K38,M38)=0,"",IF(ISNUMBER(I38),"Calculable","Revisar entradas"))</x:f>
      </x:c>
      <x:c r="M38" s="9"/>
    </x:row>
    <x:row r="39" ht="28" customHeight="1">
      <x:c r="C39" s="8"/>
      <x:c r="D39" s="22"/>
      <x:c r="E39" s="23"/>
      <x:c r="F39" s="8"/>
      <x:c r="G39" s="8"/>
      <x:c r="H39" s="14" t="str">
        <x:f>IF(COUNTA(C39:G39,J39:K39,M39)=0,"",IF(AND(C39&lt;&gt;"",COUNTIFS($C$16:$C$47,C39)=1,COUNT(D39:G39)=4,COUNT($E$5:$E$6)=2,$E$6&gt;=$E$5,D39&gt;=$E$5,D39&lt;=$E$6,E39&gt;0,E39=INT(E39),MIN(F39:G39)&gt;=0,J39&lt;&gt;"",K39&lt;&gt;"",M39&lt;&gt;"",AND(C38&lt;&gt;"",ISNUMBER(D38),ISNUMBER(E38),OR(D39&gt;D38,AND(D39=D38,E39&gt;E38)))),F39-G39,"No calculable"))</x:f>
      </x:c>
      <x:c r="I39" s="14" t="str">
        <x:f>IF(COUNTA(C39:G39,J39:K39,M39)=0,"",IF(AND(ISNUMBER(H39),ISNUMBER(I38)),I38+H39,"No calculable"))</x:f>
      </x:c>
      <x:c r="J39" s="9"/>
      <x:c r="K39" s="9"/>
      <x:c r="L39" s="16" t="str">
        <x:f>IF(COUNTA(C39:G39,J39:K39,M39)=0,"",IF(ISNUMBER(I39),"Calculable","Revisar entradas"))</x:f>
      </x:c>
      <x:c r="M39" s="9"/>
    </x:row>
    <x:row r="40" ht="28" customHeight="1">
      <x:c r="C40" s="8"/>
      <x:c r="D40" s="22"/>
      <x:c r="E40" s="23"/>
      <x:c r="F40" s="8"/>
      <x:c r="G40" s="8"/>
      <x:c r="H40" s="14" t="str">
        <x:f>IF(COUNTA(C40:G40,J40:K40,M40)=0,"",IF(AND(C40&lt;&gt;"",COUNTIFS($C$16:$C$47,C40)=1,COUNT(D40:G40)=4,COUNT($E$5:$E$6)=2,$E$6&gt;=$E$5,D40&gt;=$E$5,D40&lt;=$E$6,E40&gt;0,E40=INT(E40),MIN(F40:G40)&gt;=0,J40&lt;&gt;"",K40&lt;&gt;"",M40&lt;&gt;"",AND(C39&lt;&gt;"",ISNUMBER(D39),ISNUMBER(E39),OR(D40&gt;D39,AND(D40=D39,E40&gt;E39)))),F40-G40,"No calculable"))</x:f>
      </x:c>
      <x:c r="I40" s="14" t="str">
        <x:f>IF(COUNTA(C40:G40,J40:K40,M40)=0,"",IF(AND(ISNUMBER(H40),ISNUMBER(I39)),I39+H40,"No calculable"))</x:f>
      </x:c>
      <x:c r="J40" s="9"/>
      <x:c r="K40" s="9"/>
      <x:c r="L40" s="16" t="str">
        <x:f>IF(COUNTA(C40:G40,J40:K40,M40)=0,"",IF(ISNUMBER(I40),"Calculable","Revisar entradas"))</x:f>
      </x:c>
      <x:c r="M40" s="9"/>
    </x:row>
    <x:row r="41" ht="28" customHeight="1">
      <x:c r="C41" s="8"/>
      <x:c r="D41" s="22"/>
      <x:c r="E41" s="23"/>
      <x:c r="F41" s="8"/>
      <x:c r="G41" s="8"/>
      <x:c r="H41" s="14" t="str">
        <x:f>IF(COUNTA(C41:G41,J41:K41,M41)=0,"",IF(AND(C41&lt;&gt;"",COUNTIFS($C$16:$C$47,C41)=1,COUNT(D41:G41)=4,COUNT($E$5:$E$6)=2,$E$6&gt;=$E$5,D41&gt;=$E$5,D41&lt;=$E$6,E41&gt;0,E41=INT(E41),MIN(F41:G41)&gt;=0,J41&lt;&gt;"",K41&lt;&gt;"",M41&lt;&gt;"",AND(C40&lt;&gt;"",ISNUMBER(D40),ISNUMBER(E40),OR(D41&gt;D40,AND(D41=D40,E41&gt;E40)))),F41-G41,"No calculable"))</x:f>
      </x:c>
      <x:c r="I41" s="14" t="str">
        <x:f>IF(COUNTA(C41:G41,J41:K41,M41)=0,"",IF(AND(ISNUMBER(H41),ISNUMBER(I40)),I40+H41,"No calculable"))</x:f>
      </x:c>
      <x:c r="J41" s="9"/>
      <x:c r="K41" s="9"/>
      <x:c r="L41" s="16" t="str">
        <x:f>IF(COUNTA(C41:G41,J41:K41,M41)=0,"",IF(ISNUMBER(I41),"Calculable","Revisar entradas"))</x:f>
      </x:c>
      <x:c r="M41" s="9"/>
    </x:row>
    <x:row r="42" ht="28" customHeight="1">
      <x:c r="C42" s="8"/>
      <x:c r="D42" s="22"/>
      <x:c r="E42" s="23"/>
      <x:c r="F42" s="8"/>
      <x:c r="G42" s="8"/>
      <x:c r="H42" s="14" t="str">
        <x:f>IF(COUNTA(C42:G42,J42:K42,M42)=0,"",IF(AND(C42&lt;&gt;"",COUNTIFS($C$16:$C$47,C42)=1,COUNT(D42:G42)=4,COUNT($E$5:$E$6)=2,$E$6&gt;=$E$5,D42&gt;=$E$5,D42&lt;=$E$6,E42&gt;0,E42=INT(E42),MIN(F42:G42)&gt;=0,J42&lt;&gt;"",K42&lt;&gt;"",M42&lt;&gt;"",AND(C41&lt;&gt;"",ISNUMBER(D41),ISNUMBER(E41),OR(D42&gt;D41,AND(D42=D41,E42&gt;E41)))),F42-G42,"No calculable"))</x:f>
      </x:c>
      <x:c r="I42" s="14" t="str">
        <x:f>IF(COUNTA(C42:G42,J42:K42,M42)=0,"",IF(AND(ISNUMBER(H42),ISNUMBER(I41)),I41+H42,"No calculable"))</x:f>
      </x:c>
      <x:c r="J42" s="9"/>
      <x:c r="K42" s="9"/>
      <x:c r="L42" s="16" t="str">
        <x:f>IF(COUNTA(C42:G42,J42:K42,M42)=0,"",IF(ISNUMBER(I42),"Calculable","Revisar entradas"))</x:f>
      </x:c>
      <x:c r="M42" s="9"/>
    </x:row>
    <x:row r="43" ht="28" customHeight="1">
      <x:c r="C43" s="8"/>
      <x:c r="D43" s="22"/>
      <x:c r="E43" s="23"/>
      <x:c r="F43" s="8"/>
      <x:c r="G43" s="8"/>
      <x:c r="H43" s="14" t="str">
        <x:f>IF(COUNTA(C43:G43,J43:K43,M43)=0,"",IF(AND(C43&lt;&gt;"",COUNTIFS($C$16:$C$47,C43)=1,COUNT(D43:G43)=4,COUNT($E$5:$E$6)=2,$E$6&gt;=$E$5,D43&gt;=$E$5,D43&lt;=$E$6,E43&gt;0,E43=INT(E43),MIN(F43:G43)&gt;=0,J43&lt;&gt;"",K43&lt;&gt;"",M43&lt;&gt;"",AND(C42&lt;&gt;"",ISNUMBER(D42),ISNUMBER(E42),OR(D43&gt;D42,AND(D43=D42,E43&gt;E42)))),F43-G43,"No calculable"))</x:f>
      </x:c>
      <x:c r="I43" s="14" t="str">
        <x:f>IF(COUNTA(C43:G43,J43:K43,M43)=0,"",IF(AND(ISNUMBER(H43),ISNUMBER(I42)),I42+H43,"No calculable"))</x:f>
      </x:c>
      <x:c r="J43" s="9"/>
      <x:c r="K43" s="9"/>
      <x:c r="L43" s="16" t="str">
        <x:f>IF(COUNTA(C43:G43,J43:K43,M43)=0,"",IF(ISNUMBER(I43),"Calculable","Revisar entradas"))</x:f>
      </x:c>
      <x:c r="M43" s="9"/>
    </x:row>
    <x:row r="44" ht="28" customHeight="1">
      <x:c r="C44" s="8"/>
      <x:c r="D44" s="22"/>
      <x:c r="E44" s="23"/>
      <x:c r="F44" s="8"/>
      <x:c r="G44" s="8"/>
      <x:c r="H44" s="14" t="str">
        <x:f>IF(COUNTA(C44:G44,J44:K44,M44)=0,"",IF(AND(C44&lt;&gt;"",COUNTIFS($C$16:$C$47,C44)=1,COUNT(D44:G44)=4,COUNT($E$5:$E$6)=2,$E$6&gt;=$E$5,D44&gt;=$E$5,D44&lt;=$E$6,E44&gt;0,E44=INT(E44),MIN(F44:G44)&gt;=0,J44&lt;&gt;"",K44&lt;&gt;"",M44&lt;&gt;"",AND(C43&lt;&gt;"",ISNUMBER(D43),ISNUMBER(E43),OR(D44&gt;D43,AND(D44=D43,E44&gt;E43)))),F44-G44,"No calculable"))</x:f>
      </x:c>
      <x:c r="I44" s="14" t="str">
        <x:f>IF(COUNTA(C44:G44,J44:K44,M44)=0,"",IF(AND(ISNUMBER(H44),ISNUMBER(I43)),I43+H44,"No calculable"))</x:f>
      </x:c>
      <x:c r="J44" s="9"/>
      <x:c r="K44" s="9"/>
      <x:c r="L44" s="16" t="str">
        <x:f>IF(COUNTA(C44:G44,J44:K44,M44)=0,"",IF(ISNUMBER(I44),"Calculable","Revisar entradas"))</x:f>
      </x:c>
      <x:c r="M44" s="9"/>
    </x:row>
    <x:row r="45" ht="28" customHeight="1">
      <x:c r="C45" s="8"/>
      <x:c r="D45" s="22"/>
      <x:c r="E45" s="23"/>
      <x:c r="F45" s="8"/>
      <x:c r="G45" s="8"/>
      <x:c r="H45" s="14" t="str">
        <x:f>IF(COUNTA(C45:G45,J45:K45,M45)=0,"",IF(AND(C45&lt;&gt;"",COUNTIFS($C$16:$C$47,C45)=1,COUNT(D45:G45)=4,COUNT($E$5:$E$6)=2,$E$6&gt;=$E$5,D45&gt;=$E$5,D45&lt;=$E$6,E45&gt;0,E45=INT(E45),MIN(F45:G45)&gt;=0,J45&lt;&gt;"",K45&lt;&gt;"",M45&lt;&gt;"",AND(C44&lt;&gt;"",ISNUMBER(D44),ISNUMBER(E44),OR(D45&gt;D44,AND(D45=D44,E45&gt;E44)))),F45-G45,"No calculable"))</x:f>
      </x:c>
      <x:c r="I45" s="14" t="str">
        <x:f>IF(COUNTA(C45:G45,J45:K45,M45)=0,"",IF(AND(ISNUMBER(H45),ISNUMBER(I44)),I44+H45,"No calculable"))</x:f>
      </x:c>
      <x:c r="J45" s="9"/>
      <x:c r="K45" s="9"/>
      <x:c r="L45" s="16" t="str">
        <x:f>IF(COUNTA(C45:G45,J45:K45,M45)=0,"",IF(ISNUMBER(I45),"Calculable","Revisar entradas"))</x:f>
      </x:c>
      <x:c r="M45" s="9"/>
    </x:row>
    <x:row r="46" ht="28" customHeight="1">
      <x:c r="C46" s="8"/>
      <x:c r="D46" s="22"/>
      <x:c r="E46" s="23"/>
      <x:c r="F46" s="8"/>
      <x:c r="G46" s="8"/>
      <x:c r="H46" s="14" t="str">
        <x:f>IF(COUNTA(C46:G46,J46:K46,M46)=0,"",IF(AND(C46&lt;&gt;"",COUNTIFS($C$16:$C$47,C46)=1,COUNT(D46:G46)=4,COUNT($E$5:$E$6)=2,$E$6&gt;=$E$5,D46&gt;=$E$5,D46&lt;=$E$6,E46&gt;0,E46=INT(E46),MIN(F46:G46)&gt;=0,J46&lt;&gt;"",K46&lt;&gt;"",M46&lt;&gt;"",AND(C45&lt;&gt;"",ISNUMBER(D45),ISNUMBER(E45),OR(D46&gt;D45,AND(D46=D45,E46&gt;E45)))),F46-G46,"No calculable"))</x:f>
      </x:c>
      <x:c r="I46" s="14" t="str">
        <x:f>IF(COUNTA(C46:G46,J46:K46,M46)=0,"",IF(AND(ISNUMBER(H46),ISNUMBER(I45)),I45+H46,"No calculable"))</x:f>
      </x:c>
      <x:c r="J46" s="9"/>
      <x:c r="K46" s="9"/>
      <x:c r="L46" s="16" t="str">
        <x:f>IF(COUNTA(C46:G46,J46:K46,M46)=0,"",IF(ISNUMBER(I46),"Calculable","Revisar entradas"))</x:f>
      </x:c>
      <x:c r="M46" s="9"/>
    </x:row>
    <x:row r="47" ht="28" customHeight="1">
      <x:c r="C47" s="8"/>
      <x:c r="D47" s="22"/>
      <x:c r="E47" s="23"/>
      <x:c r="F47" s="8"/>
      <x:c r="G47" s="8"/>
      <x:c r="H47" s="14" t="str">
        <x:f>IF(COUNTA(C47:G47,J47:K47,M47)=0,"",IF(AND(C47&lt;&gt;"",COUNTIFS($C$16:$C$47,C47)=1,COUNT(D47:G47)=4,COUNT($E$5:$E$6)=2,$E$6&gt;=$E$5,D47&gt;=$E$5,D47&lt;=$E$6,E47&gt;0,E47=INT(E47),MIN(F47:G47)&gt;=0,J47&lt;&gt;"",K47&lt;&gt;"",M47&lt;&gt;"",AND(C46&lt;&gt;"",ISNUMBER(D46),ISNUMBER(E46),OR(D47&gt;D46,AND(D47=D46,E47&gt;E46)))),F47-G47,"No calculable"))</x:f>
      </x:c>
      <x:c r="I47" s="14" t="str">
        <x:f>IF(COUNTA(C47:G47,J47:K47,M47)=0,"",IF(AND(ISNUMBER(H47),ISNUMBER(I46)),I46+H47,"No calculable"))</x:f>
      </x:c>
      <x:c r="J47" s="9"/>
      <x:c r="K47" s="9"/>
      <x:c r="L47" s="16" t="str">
        <x:f>IF(COUNTA(C47:G47,J47:K47,M47)=0,"",IF(ISNUMBER(I47),"Calculable","Revisar entradas"))</x:f>
      </x:c>
      <x:c r="M47" s="9"/>
    </x:row>
    <x:row r="48" ht="28" customHeight="1"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8" customHeight="1">
      <x:c r="C49" s="3" t="str">
        <x:v>Completar filas contiguas en orden de fecha y secuencia; incluir ceros conocidos de cobro/pago.</x:v>
      </x:c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8" customHeight="1">
      <x:c r="C50" s="3" t="str">
        <x:v>No compensar eventos si su orden afecta a financiación. Un evento incompleto limita saldos posteriores.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8" customHeight="1"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</x:sheetData>
  <x:conditionalFormatting sqref="E9:E11">
    <x:cfRule type="containsText" dxfId="13" priority="1" operator="containsText" text="Revisar"/>
    <x:cfRule type="containsText" dxfId="14" priority="2" operator="containsText" text="No calculable"/>
  </x:conditionalFormatting>
  <x:conditionalFormatting sqref="L16:L47">
    <x:cfRule type="containsText" dxfId="15" priority="3" operator="containsText" text="Revisar"/>
    <x:cfRule type="containsText" dxfId="16" priority="4" operator="containsText" text="No calculable"/>
  </x:conditionalFormatting>
  <x:dataValidations count="1">
    <x:dataValidation type="list" sqref="I6">
      <x:formula1>"Completa,Parcial"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25" hidden="0" customWidth="1"/>
    <x:col min="13" max="13" width="25" hidden="0" customWidth="1"/>
    <x:col min="1" max="1" width="2.5" hidden="0" customWidth="1"/>
    <x:col min="2" max="2" width="2.5" hidden="0" customWidth="1"/>
  </x:cols>
  <x:sheetData>
    <x:row r="2" ht="28" customHeight="1">
      <x:c r="C2" s="5" t="str">
        <x:v>Existencias utilizables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8" customHeight="1">
      <x:c r="C3" s="6" t="str">
        <x:v>Go2Rev · Modelo general v0.1 · Entradas vacías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8" customHeight="1">
      <x:c r="C5" s="3" t="str">
        <x:v>Corte inicial</x:v>
      </x:c>
      <x:c r="D5" s="3"/>
      <x:c r="E5" s="22"/>
      <x:c r="F5" s="3"/>
      <x:c r="G5" s="3" t="str">
        <x:v>Corte final</x:v>
      </x:c>
      <x:c r="H5" s="3"/>
      <x:c r="I5" s="22"/>
      <x:c r="J5" s="3"/>
      <x:c r="K5" s="3"/>
      <x:c r="L5" s="3"/>
      <x:c r="M5" s="3"/>
    </x:row>
    <x:row r="6" ht="28" customHeight="1"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8" customHeight="1">
      <x:c r="C7" s="3" t="str">
        <x:v>Por artículo, unidad y ubicación. El saldo final no comprueba disponibilidad intraperiodo.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28" customHeight="1"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28" customHeight="1"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42" customHeight="1">
      <x:c r="C10" s="13" t="str">
        <x:v>Artículo / ubicación</x:v>
      </x:c>
      <x:c r="D10" s="13" t="str">
        <x:v>Unidad</x:v>
      </x:c>
      <x:c r="E10" s="13" t="str">
        <x:v>Stock inicial</x:v>
      </x:c>
      <x:c r="F10" s="13" t="str">
        <x:v>Recepciones útiles</x:v>
      </x:c>
      <x:c r="G10" s="13" t="str">
        <x:v>Devoluciones útiles</x:v>
      </x:c>
      <x:c r="H10" s="13" t="str">
        <x:v>Salidas</x:v>
      </x:c>
      <x:c r="I10" s="13" t="str">
        <x:v>Pérdidas</x:v>
      </x:c>
      <x:c r="J10" s="13" t="str">
        <x:v>Stock final</x:v>
      </x:c>
      <x:c r="K10" s="13" t="str">
        <x:v>AF por entrada</x:v>
      </x:c>
      <x:c r="L10" s="13" t="str">
        <x:v>Cobertura</x:v>
      </x:c>
      <x:c r="M10" s="13" t="str">
        <x:v>Estado de fila</x:v>
      </x:c>
    </x:row>
    <x:row r="11" ht="28" customHeight="1">
      <x:c r="C11" s="8"/>
      <x:c r="D11" s="8"/>
      <x:c r="E11" s="8"/>
      <x:c r="F11" s="8"/>
      <x:c r="G11" s="8"/>
      <x:c r="H11" s="8"/>
      <x:c r="I11" s="8"/>
      <x:c r="J11" s="14" t="str">
        <x:f>IF(COUNTA(C11:I11,K11:L11)=0,"",IF(AND(C11&lt;&gt;"",D11&lt;&gt;"",COUNTIFS($C$11:$C$26,C11,$D$11:$D$26,D11)=1,COUNT(E11:I11)=5,MIN(E11:I11)&gt;=0,K11&lt;&gt;"",L11="Completa",COUNT($E$5,$I$5)=2,$I$5&gt;=$E$5),SUM(E11:G11)-SUM(H11:I11),"No calculable"))</x:f>
      </x:c>
      <x:c r="K11" s="9"/>
      <x:c r="L11" s="9"/>
      <x:c r="M11" s="16" t="str">
        <x:f>IF(COUNTA(C11:I11,K11:L11)=0,"",IF(ISNUMBER(J11),IF(J11&lt;0,"Stock incompatible","Calculable"),"Revisar entradas"))</x:f>
      </x:c>
    </x:row>
    <x:row r="12" ht="28" customHeight="1">
      <x:c r="C12" s="8"/>
      <x:c r="D12" s="8"/>
      <x:c r="E12" s="8"/>
      <x:c r="F12" s="8"/>
      <x:c r="G12" s="8"/>
      <x:c r="H12" s="8"/>
      <x:c r="I12" s="8"/>
      <x:c r="J12" s="14" t="str">
        <x:f>IF(COUNTA(C12:I12,K12:L12)=0,"",IF(AND(C12&lt;&gt;"",D12&lt;&gt;"",COUNTIFS($C$11:$C$26,C12,$D$11:$D$26,D12)=1,COUNT(E12:I12)=5,MIN(E12:I12)&gt;=0,K12&lt;&gt;"",L12="Completa",COUNT($E$5,$I$5)=2,$I$5&gt;=$E$5),SUM(E12:G12)-SUM(H12:I12),"No calculable"))</x:f>
      </x:c>
      <x:c r="K12" s="9"/>
      <x:c r="L12" s="9"/>
      <x:c r="M12" s="16" t="str">
        <x:f>IF(COUNTA(C12:I12,K12:L12)=0,"",IF(ISNUMBER(J12),IF(J12&lt;0,"Stock incompatible","Calculable"),"Revisar entradas"))</x:f>
      </x:c>
    </x:row>
    <x:row r="13" ht="28" customHeight="1">
      <x:c r="C13" s="8"/>
      <x:c r="D13" s="8"/>
      <x:c r="E13" s="8"/>
      <x:c r="F13" s="8"/>
      <x:c r="G13" s="8"/>
      <x:c r="H13" s="8"/>
      <x:c r="I13" s="8"/>
      <x:c r="J13" s="14" t="str">
        <x:f>IF(COUNTA(C13:I13,K13:L13)=0,"",IF(AND(C13&lt;&gt;"",D13&lt;&gt;"",COUNTIFS($C$11:$C$26,C13,$D$11:$D$26,D13)=1,COUNT(E13:I13)=5,MIN(E13:I13)&gt;=0,K13&lt;&gt;"",L13="Completa",COUNT($E$5,$I$5)=2,$I$5&gt;=$E$5),SUM(E13:G13)-SUM(H13:I13),"No calculable"))</x:f>
      </x:c>
      <x:c r="K13" s="9"/>
      <x:c r="L13" s="9"/>
      <x:c r="M13" s="16" t="str">
        <x:f>IF(COUNTA(C13:I13,K13:L13)=0,"",IF(ISNUMBER(J13),IF(J13&lt;0,"Stock incompatible","Calculable"),"Revisar entradas"))</x:f>
      </x:c>
    </x:row>
    <x:row r="14" ht="28" customHeight="1">
      <x:c r="C14" s="8"/>
      <x:c r="D14" s="8"/>
      <x:c r="E14" s="8"/>
      <x:c r="F14" s="8"/>
      <x:c r="G14" s="8"/>
      <x:c r="H14" s="8"/>
      <x:c r="I14" s="8"/>
      <x:c r="J14" s="14" t="str">
        <x:f>IF(COUNTA(C14:I14,K14:L14)=0,"",IF(AND(C14&lt;&gt;"",D14&lt;&gt;"",COUNTIFS($C$11:$C$26,C14,$D$11:$D$26,D14)=1,COUNT(E14:I14)=5,MIN(E14:I14)&gt;=0,K14&lt;&gt;"",L14="Completa",COUNT($E$5,$I$5)=2,$I$5&gt;=$E$5),SUM(E14:G14)-SUM(H14:I14),"No calculable"))</x:f>
      </x:c>
      <x:c r="K14" s="9"/>
      <x:c r="L14" s="9"/>
      <x:c r="M14" s="16" t="str">
        <x:f>IF(COUNTA(C14:I14,K14:L14)=0,"",IF(ISNUMBER(J14),IF(J14&lt;0,"Stock incompatible","Calculable"),"Revisar entradas"))</x:f>
      </x:c>
    </x:row>
    <x:row r="15" ht="28" customHeight="1">
      <x:c r="C15" s="8"/>
      <x:c r="D15" s="8"/>
      <x:c r="E15" s="8"/>
      <x:c r="F15" s="8"/>
      <x:c r="G15" s="8"/>
      <x:c r="H15" s="8"/>
      <x:c r="I15" s="8"/>
      <x:c r="J15" s="14" t="str">
        <x:f>IF(COUNTA(C15:I15,K15:L15)=0,"",IF(AND(C15&lt;&gt;"",D15&lt;&gt;"",COUNTIFS($C$11:$C$26,C15,$D$11:$D$26,D15)=1,COUNT(E15:I15)=5,MIN(E15:I15)&gt;=0,K15&lt;&gt;"",L15="Completa",COUNT($E$5,$I$5)=2,$I$5&gt;=$E$5),SUM(E15:G15)-SUM(H15:I15),"No calculable"))</x:f>
      </x:c>
      <x:c r="K15" s="9"/>
      <x:c r="L15" s="9"/>
      <x:c r="M15" s="16" t="str">
        <x:f>IF(COUNTA(C15:I15,K15:L15)=0,"",IF(ISNUMBER(J15),IF(J15&lt;0,"Stock incompatible","Calculable"),"Revisar entradas"))</x:f>
      </x:c>
    </x:row>
    <x:row r="16" ht="28" customHeight="1">
      <x:c r="C16" s="8"/>
      <x:c r="D16" s="8"/>
      <x:c r="E16" s="8"/>
      <x:c r="F16" s="8"/>
      <x:c r="G16" s="8"/>
      <x:c r="H16" s="8"/>
      <x:c r="I16" s="8"/>
      <x:c r="J16" s="14" t="str">
        <x:f>IF(COUNTA(C16:I16,K16:L16)=0,"",IF(AND(C16&lt;&gt;"",D16&lt;&gt;"",COUNTIFS($C$11:$C$26,C16,$D$11:$D$26,D16)=1,COUNT(E16:I16)=5,MIN(E16:I16)&gt;=0,K16&lt;&gt;"",L16="Completa",COUNT($E$5,$I$5)=2,$I$5&gt;=$E$5),SUM(E16:G16)-SUM(H16:I16),"No calculable"))</x:f>
      </x:c>
      <x:c r="K16" s="9"/>
      <x:c r="L16" s="9"/>
      <x:c r="M16" s="16" t="str">
        <x:f>IF(COUNTA(C16:I16,K16:L16)=0,"",IF(ISNUMBER(J16),IF(J16&lt;0,"Stock incompatible","Calculable"),"Revisar entradas"))</x:f>
      </x:c>
    </x:row>
    <x:row r="17" ht="28" customHeight="1">
      <x:c r="C17" s="8"/>
      <x:c r="D17" s="8"/>
      <x:c r="E17" s="8"/>
      <x:c r="F17" s="8"/>
      <x:c r="G17" s="8"/>
      <x:c r="H17" s="8"/>
      <x:c r="I17" s="8"/>
      <x:c r="J17" s="14" t="str">
        <x:f>IF(COUNTA(C17:I17,K17:L17)=0,"",IF(AND(C17&lt;&gt;"",D17&lt;&gt;"",COUNTIFS($C$11:$C$26,C17,$D$11:$D$26,D17)=1,COUNT(E17:I17)=5,MIN(E17:I17)&gt;=0,K17&lt;&gt;"",L17="Completa",COUNT($E$5,$I$5)=2,$I$5&gt;=$E$5),SUM(E17:G17)-SUM(H17:I17),"No calculable"))</x:f>
      </x:c>
      <x:c r="K17" s="9"/>
      <x:c r="L17" s="9"/>
      <x:c r="M17" s="16" t="str">
        <x:f>IF(COUNTA(C17:I17,K17:L17)=0,"",IF(ISNUMBER(J17),IF(J17&lt;0,"Stock incompatible","Calculable"),"Revisar entradas"))</x:f>
      </x:c>
    </x:row>
    <x:row r="18" ht="28" customHeight="1">
      <x:c r="C18" s="8"/>
      <x:c r="D18" s="8"/>
      <x:c r="E18" s="8"/>
      <x:c r="F18" s="8"/>
      <x:c r="G18" s="8"/>
      <x:c r="H18" s="8"/>
      <x:c r="I18" s="8"/>
      <x:c r="J18" s="14" t="str">
        <x:f>IF(COUNTA(C18:I18,K18:L18)=0,"",IF(AND(C18&lt;&gt;"",D18&lt;&gt;"",COUNTIFS($C$11:$C$26,C18,$D$11:$D$26,D18)=1,COUNT(E18:I18)=5,MIN(E18:I18)&gt;=0,K18&lt;&gt;"",L18="Completa",COUNT($E$5,$I$5)=2,$I$5&gt;=$E$5),SUM(E18:G18)-SUM(H18:I18),"No calculable"))</x:f>
      </x:c>
      <x:c r="K18" s="9"/>
      <x:c r="L18" s="9"/>
      <x:c r="M18" s="16" t="str">
        <x:f>IF(COUNTA(C18:I18,K18:L18)=0,"",IF(ISNUMBER(J18),IF(J18&lt;0,"Stock incompatible","Calculable"),"Revisar entradas"))</x:f>
      </x:c>
    </x:row>
    <x:row r="19" ht="28" customHeight="1">
      <x:c r="C19" s="8"/>
      <x:c r="D19" s="8"/>
      <x:c r="E19" s="8"/>
      <x:c r="F19" s="8"/>
      <x:c r="G19" s="8"/>
      <x:c r="H19" s="8"/>
      <x:c r="I19" s="8"/>
      <x:c r="J19" s="14" t="str">
        <x:f>IF(COUNTA(C19:I19,K19:L19)=0,"",IF(AND(C19&lt;&gt;"",D19&lt;&gt;"",COUNTIFS($C$11:$C$26,C19,$D$11:$D$26,D19)=1,COUNT(E19:I19)=5,MIN(E19:I19)&gt;=0,K19&lt;&gt;"",L19="Completa",COUNT($E$5,$I$5)=2,$I$5&gt;=$E$5),SUM(E19:G19)-SUM(H19:I19),"No calculable"))</x:f>
      </x:c>
      <x:c r="K19" s="9"/>
      <x:c r="L19" s="9"/>
      <x:c r="M19" s="16" t="str">
        <x:f>IF(COUNTA(C19:I19,K19:L19)=0,"",IF(ISNUMBER(J19),IF(J19&lt;0,"Stock incompatible","Calculable"),"Revisar entradas"))</x:f>
      </x:c>
    </x:row>
    <x:row r="20" ht="28" customHeight="1">
      <x:c r="C20" s="8"/>
      <x:c r="D20" s="8"/>
      <x:c r="E20" s="8"/>
      <x:c r="F20" s="8"/>
      <x:c r="G20" s="8"/>
      <x:c r="H20" s="8"/>
      <x:c r="I20" s="8"/>
      <x:c r="J20" s="14" t="str">
        <x:f>IF(COUNTA(C20:I20,K20:L20)=0,"",IF(AND(C20&lt;&gt;"",D20&lt;&gt;"",COUNTIFS($C$11:$C$26,C20,$D$11:$D$26,D20)=1,COUNT(E20:I20)=5,MIN(E20:I20)&gt;=0,K20&lt;&gt;"",L20="Completa",COUNT($E$5,$I$5)=2,$I$5&gt;=$E$5),SUM(E20:G20)-SUM(H20:I20),"No calculable"))</x:f>
      </x:c>
      <x:c r="K20" s="9"/>
      <x:c r="L20" s="9"/>
      <x:c r="M20" s="16" t="str">
        <x:f>IF(COUNTA(C20:I20,K20:L20)=0,"",IF(ISNUMBER(J20),IF(J20&lt;0,"Stock incompatible","Calculable"),"Revisar entradas"))</x:f>
      </x:c>
    </x:row>
    <x:row r="21" ht="28" customHeight="1">
      <x:c r="C21" s="8"/>
      <x:c r="D21" s="8"/>
      <x:c r="E21" s="8"/>
      <x:c r="F21" s="8"/>
      <x:c r="G21" s="8"/>
      <x:c r="H21" s="8"/>
      <x:c r="I21" s="8"/>
      <x:c r="J21" s="14" t="str">
        <x:f>IF(COUNTA(C21:I21,K21:L21)=0,"",IF(AND(C21&lt;&gt;"",D21&lt;&gt;"",COUNTIFS($C$11:$C$26,C21,$D$11:$D$26,D21)=1,COUNT(E21:I21)=5,MIN(E21:I21)&gt;=0,K21&lt;&gt;"",L21="Completa",COUNT($E$5,$I$5)=2,$I$5&gt;=$E$5),SUM(E21:G21)-SUM(H21:I21),"No calculable"))</x:f>
      </x:c>
      <x:c r="K21" s="9"/>
      <x:c r="L21" s="9"/>
      <x:c r="M21" s="16" t="str">
        <x:f>IF(COUNTA(C21:I21,K21:L21)=0,"",IF(ISNUMBER(J21),IF(J21&lt;0,"Stock incompatible","Calculable"),"Revisar entradas"))</x:f>
      </x:c>
    </x:row>
    <x:row r="22" ht="28" customHeight="1">
      <x:c r="C22" s="8"/>
      <x:c r="D22" s="8"/>
      <x:c r="E22" s="8"/>
      <x:c r="F22" s="8"/>
      <x:c r="G22" s="8"/>
      <x:c r="H22" s="8"/>
      <x:c r="I22" s="8"/>
      <x:c r="J22" s="14" t="str">
        <x:f>IF(COUNTA(C22:I22,K22:L22)=0,"",IF(AND(C22&lt;&gt;"",D22&lt;&gt;"",COUNTIFS($C$11:$C$26,C22,$D$11:$D$26,D22)=1,COUNT(E22:I22)=5,MIN(E22:I22)&gt;=0,K22&lt;&gt;"",L22="Completa",COUNT($E$5,$I$5)=2,$I$5&gt;=$E$5),SUM(E22:G22)-SUM(H22:I22),"No calculable"))</x:f>
      </x:c>
      <x:c r="K22" s="9"/>
      <x:c r="L22" s="9"/>
      <x:c r="M22" s="16" t="str">
        <x:f>IF(COUNTA(C22:I22,K22:L22)=0,"",IF(ISNUMBER(J22),IF(J22&lt;0,"Stock incompatible","Calculable"),"Revisar entradas"))</x:f>
      </x:c>
    </x:row>
    <x:row r="23" ht="28" customHeight="1">
      <x:c r="C23" s="8"/>
      <x:c r="D23" s="8"/>
      <x:c r="E23" s="8"/>
      <x:c r="F23" s="8"/>
      <x:c r="G23" s="8"/>
      <x:c r="H23" s="8"/>
      <x:c r="I23" s="8"/>
      <x:c r="J23" s="14" t="str">
        <x:f>IF(COUNTA(C23:I23,K23:L23)=0,"",IF(AND(C23&lt;&gt;"",D23&lt;&gt;"",COUNTIFS($C$11:$C$26,C23,$D$11:$D$26,D23)=1,COUNT(E23:I23)=5,MIN(E23:I23)&gt;=0,K23&lt;&gt;"",L23="Completa",COUNT($E$5,$I$5)=2,$I$5&gt;=$E$5),SUM(E23:G23)-SUM(H23:I23),"No calculable"))</x:f>
      </x:c>
      <x:c r="K23" s="9"/>
      <x:c r="L23" s="9"/>
      <x:c r="M23" s="16" t="str">
        <x:f>IF(COUNTA(C23:I23,K23:L23)=0,"",IF(ISNUMBER(J23),IF(J23&lt;0,"Stock incompatible","Calculable"),"Revisar entradas"))</x:f>
      </x:c>
    </x:row>
    <x:row r="24" ht="28" customHeight="1">
      <x:c r="C24" s="8"/>
      <x:c r="D24" s="8"/>
      <x:c r="E24" s="8"/>
      <x:c r="F24" s="8"/>
      <x:c r="G24" s="8"/>
      <x:c r="H24" s="8"/>
      <x:c r="I24" s="8"/>
      <x:c r="J24" s="14" t="str">
        <x:f>IF(COUNTA(C24:I24,K24:L24)=0,"",IF(AND(C24&lt;&gt;"",D24&lt;&gt;"",COUNTIFS($C$11:$C$26,C24,$D$11:$D$26,D24)=1,COUNT(E24:I24)=5,MIN(E24:I24)&gt;=0,K24&lt;&gt;"",L24="Completa",COUNT($E$5,$I$5)=2,$I$5&gt;=$E$5),SUM(E24:G24)-SUM(H24:I24),"No calculable"))</x:f>
      </x:c>
      <x:c r="K24" s="9"/>
      <x:c r="L24" s="9"/>
      <x:c r="M24" s="16" t="str">
        <x:f>IF(COUNTA(C24:I24,K24:L24)=0,"",IF(ISNUMBER(J24),IF(J24&lt;0,"Stock incompatible","Calculable"),"Revisar entradas"))</x:f>
      </x:c>
    </x:row>
    <x:row r="25" ht="28" customHeight="1">
      <x:c r="C25" s="8"/>
      <x:c r="D25" s="8"/>
      <x:c r="E25" s="8"/>
      <x:c r="F25" s="8"/>
      <x:c r="G25" s="8"/>
      <x:c r="H25" s="8"/>
      <x:c r="I25" s="8"/>
      <x:c r="J25" s="14" t="str">
        <x:f>IF(COUNTA(C25:I25,K25:L25)=0,"",IF(AND(C25&lt;&gt;"",D25&lt;&gt;"",COUNTIFS($C$11:$C$26,C25,$D$11:$D$26,D25)=1,COUNT(E25:I25)=5,MIN(E25:I25)&gt;=0,K25&lt;&gt;"",L25="Completa",COUNT($E$5,$I$5)=2,$I$5&gt;=$E$5),SUM(E25:G25)-SUM(H25:I25),"No calculable"))</x:f>
      </x:c>
      <x:c r="K25" s="9"/>
      <x:c r="L25" s="9"/>
      <x:c r="M25" s="16" t="str">
        <x:f>IF(COUNTA(C25:I25,K25:L25)=0,"",IF(ISNUMBER(J25),IF(J25&lt;0,"Stock incompatible","Calculable"),"Revisar entradas"))</x:f>
      </x:c>
    </x:row>
    <x:row r="26" ht="28" customHeight="1">
      <x:c r="C26" s="8"/>
      <x:c r="D26" s="8"/>
      <x:c r="E26" s="8"/>
      <x:c r="F26" s="8"/>
      <x:c r="G26" s="8"/>
      <x:c r="H26" s="8"/>
      <x:c r="I26" s="8"/>
      <x:c r="J26" s="14" t="str">
        <x:f>IF(COUNTA(C26:I26,K26:L26)=0,"",IF(AND(C26&lt;&gt;"",D26&lt;&gt;"",COUNTIFS($C$11:$C$26,C26,$D$11:$D$26,D26)=1,COUNT(E26:I26)=5,MIN(E26:I26)&gt;=0,K26&lt;&gt;"",L26="Completa",COUNT($E$5,$I$5)=2,$I$5&gt;=$E$5),SUM(E26:G26)-SUM(H26:I26),"No calculable"))</x:f>
      </x:c>
      <x:c r="K26" s="9"/>
      <x:c r="L26" s="9"/>
      <x:c r="M26" s="16" t="str">
        <x:f>IF(COUNTA(C26:I26,K26:L26)=0,"",IF(ISNUMBER(J26),IF(J26&lt;0,"Stock incompatible","Calculable"),"Revisar entradas"))</x:f>
      </x:c>
    </x:row>
    <x:row r="27" ht="28" customHeight="1"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8" customHeight="1">
      <x:c r="C28" s="3" t="str">
        <x:v>Compras, consumo, valoración, reconocimiento y pago requieren sus relaciones en K11/K12.</x:v>
      </x:c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8" customHeight="1"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</x:sheetData>
  <x:conditionalFormatting sqref="M11:M26">
    <x:cfRule type="containsText" dxfId="17" priority="1" operator="containsText" text="Revisar"/>
    <x:cfRule type="containsText" dxfId="18" priority="2" operator="containsText" text="No calculable"/>
  </x:conditionalFormatting>
  <x:conditionalFormatting sqref="J11:J26">
    <x:cfRule type="cellIs" dxfId="19" priority="3" operator="lessThan">
      <x:formula>0</x:formula>
    </x:cfRule>
  </x:conditionalFormatting>
  <x:dataValidations count="1">
    <x:dataValidation type="list" sqref="L11:L26">
      <x:formula1>"Completa,Parcial"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5" hidden="0" customWidth="1"/>
    <x:col min="15" max="15" width="25" hidden="0" customWidth="1"/>
    <x:col min="16" max="16" width="25" hidden="0" customWidth="1"/>
    <x:col min="1" max="1" width="2.5" hidden="0" customWidth="1"/>
    <x:col min="2" max="2" width="2.5" hidden="0" customWidth="1"/>
  </x:cols>
  <x:sheetData>
    <x:row r="2" ht="28" customHeight="1">
      <x:c r="C2" s="5" t="str">
        <x:v>Base activa y exposición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8" customHeight="1">
      <x:c r="C3" s="6" t="str">
        <x:v>Go2Rev · Modelo general v0.1 · Entradas vacías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8" customHeight="1"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8" customHeight="1">
      <x:c r="C5" s="3" t="str">
        <x:v>Inicio del periodo</x:v>
      </x:c>
      <x:c r="D5" s="3"/>
      <x:c r="E5" s="22"/>
      <x:c r="F5" s="3"/>
      <x:c r="G5" s="3"/>
      <x:c r="H5" s="3" t="str">
        <x:v>Fin del periodo</x:v>
      </x:c>
      <x:c r="I5" s="3"/>
      <x:c r="J5" s="22"/>
      <x:c r="K5" s="3"/>
      <x:c r="L5" s="3"/>
      <x:c r="M5" s="3"/>
      <x:c r="N5" s="3"/>
      <x:c r="O5" s="3"/>
      <x:c r="P5" s="3"/>
    </x:row>
    <x:row r="6" ht="28" customHeight="1"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8" customHeight="1">
      <x:c r="C7" s="3" t="str">
        <x:v>Exposición según fechas y contrato. No se infiere facturación de la media de clientes.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28" customHeight="1"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28" customHeight="1"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42" customHeight="1">
      <x:c r="C10" s="13" t="str">
        <x:v>Cohorte / oferta</x:v>
      </x:c>
      <x:c r="D10" s="13" t="str">
        <x:v>Unidad de exposición</x:v>
      </x:c>
      <x:c r="E10" s="13" t="str">
        <x:v>Base inicial</x:v>
      </x:c>
      <x:c r="F10" s="13" t="str">
        <x:v>Altas</x:v>
      </x:c>
      <x:c r="G10" s="13" t="str">
        <x:v>Bajas</x:v>
      </x:c>
      <x:c r="H10" s="13" t="str">
        <x:v>Base final</x:v>
      </x:c>
      <x:c r="I10" s="13" t="str">
        <x:v>Exposición reconocida</x:v>
      </x:c>
      <x:c r="J10" s="13" t="str">
        <x:v>Precio / exposición</x:v>
      </x:c>
      <x:c r="K10" s="13" t="str">
        <x:v>Ingreso</x:v>
      </x:c>
      <x:c r="L10" s="13" t="str">
        <x:v>Variable / exposición</x:v>
      </x:c>
      <x:c r="M10" s="13" t="str">
        <x:v>Contribución</x:v>
      </x:c>
      <x:c r="N10" s="13" t="str">
        <x:v>AF por entrada</x:v>
      </x:c>
      <x:c r="O10" s="13" t="str">
        <x:v>Cobertura</x:v>
      </x:c>
      <x:c r="P10" s="13" t="str">
        <x:v>Estado de fila</x:v>
      </x:c>
    </x:row>
    <x:row r="11" ht="28" customHeight="1">
      <x:c r="C11" s="8"/>
      <x:c r="D11" s="8"/>
      <x:c r="E11" s="8"/>
      <x:c r="F11" s="8"/>
      <x:c r="G11" s="8"/>
      <x:c r="H11" s="14" t="str">
        <x:f>IF(COUNTA(C11:G11,I11:J11,L11,N11:O11)=0,"",IF(AND(AND(C11&lt;&gt;"",D11&lt;&gt;"",COUNTIFS($C$11:$C$26,C11)=1,N11&lt;&gt;"",COUNT($E$5,$J$5)=2,$J$5&gt;=$E$5),COUNT(E11:G11)=3,MIN(E11:G11)&gt;=0,G11&lt;=E11+F11),SUM(E11:F11)-G11,"No calculable"))</x:f>
      </x:c>
      <x:c r="I11" s="8"/>
      <x:c r="J11" s="8"/>
      <x:c r="K11" s="14" t="str">
        <x:f>IF(COUNTA(C11:G11,I11:J11,L11,N11:O11)=0,"",IF(AND(AND(C11&lt;&gt;"",D11&lt;&gt;"",COUNTIFS($C$11:$C$26,C11)=1,N11&lt;&gt;"",COUNT($E$5,$J$5)=2,$J$5&gt;=$E$5),ISNUMBER(H11),COUNT(I11:J11)=2,MIN(I11:J11)&gt;=0),I11*J11,"No calculable"))</x:f>
      </x:c>
      <x:c r="L11" s="8"/>
      <x:c r="M11" s="14" t="str">
        <x:f>IF(COUNTA(C11:G11,I11:J11,L11,N11:O11)=0,"",IF(AND(ISNUMBER(K11),ISNUMBER(L11),L11&gt;=0,O11="Completa"),K11-I11*L11,"No calculable"))</x:f>
      </x:c>
      <x:c r="N11" s="9"/>
      <x:c r="O11" s="9"/>
      <x:c r="P11" s="16" t="str">
        <x:f>IF(COUNTA(C11:G11,I11:J11,L11,N11:O11)=0,"",IF(AND(ISNUMBER(H11),ISNUMBER(K11),ISNUMBER(M11)),"Calculable","Revisar entradas"))</x:f>
      </x:c>
    </x:row>
    <x:row r="12" ht="28" customHeight="1">
      <x:c r="C12" s="8"/>
      <x:c r="D12" s="8"/>
      <x:c r="E12" s="8"/>
      <x:c r="F12" s="8"/>
      <x:c r="G12" s="8"/>
      <x:c r="H12" s="14" t="str">
        <x:f>IF(COUNTA(C12:G12,I12:J12,L12,N12:O12)=0,"",IF(AND(AND(C12&lt;&gt;"",D12&lt;&gt;"",COUNTIFS($C$11:$C$26,C12)=1,N12&lt;&gt;"",COUNT($E$5,$J$5)=2,$J$5&gt;=$E$5),COUNT(E12:G12)=3,MIN(E12:G12)&gt;=0,G12&lt;=E12+F12),SUM(E12:F12)-G12,"No calculable"))</x:f>
      </x:c>
      <x:c r="I12" s="8"/>
      <x:c r="J12" s="8"/>
      <x:c r="K12" s="14" t="str">
        <x:f>IF(COUNTA(C12:G12,I12:J12,L12,N12:O12)=0,"",IF(AND(AND(C12&lt;&gt;"",D12&lt;&gt;"",COUNTIFS($C$11:$C$26,C12)=1,N12&lt;&gt;"",COUNT($E$5,$J$5)=2,$J$5&gt;=$E$5),ISNUMBER(H12),COUNT(I12:J12)=2,MIN(I12:J12)&gt;=0),I12*J12,"No calculable"))</x:f>
      </x:c>
      <x:c r="L12" s="8"/>
      <x:c r="M12" s="14" t="str">
        <x:f>IF(COUNTA(C12:G12,I12:J12,L12,N12:O12)=0,"",IF(AND(ISNUMBER(K12),ISNUMBER(L12),L12&gt;=0,O12="Completa"),K12-I12*L12,"No calculable"))</x:f>
      </x:c>
      <x:c r="N12" s="9"/>
      <x:c r="O12" s="9"/>
      <x:c r="P12" s="16" t="str">
        <x:f>IF(COUNTA(C12:G12,I12:J12,L12,N12:O12)=0,"",IF(AND(ISNUMBER(H12),ISNUMBER(K12),ISNUMBER(M12)),"Calculable","Revisar entradas"))</x:f>
      </x:c>
    </x:row>
    <x:row r="13" ht="28" customHeight="1">
      <x:c r="C13" s="8"/>
      <x:c r="D13" s="8"/>
      <x:c r="E13" s="8"/>
      <x:c r="F13" s="8"/>
      <x:c r="G13" s="8"/>
      <x:c r="H13" s="14" t="str">
        <x:f>IF(COUNTA(C13:G13,I13:J13,L13,N13:O13)=0,"",IF(AND(AND(C13&lt;&gt;"",D13&lt;&gt;"",COUNTIFS($C$11:$C$26,C13)=1,N13&lt;&gt;"",COUNT($E$5,$J$5)=2,$J$5&gt;=$E$5),COUNT(E13:G13)=3,MIN(E13:G13)&gt;=0,G13&lt;=E13+F13),SUM(E13:F13)-G13,"No calculable"))</x:f>
      </x:c>
      <x:c r="I13" s="8"/>
      <x:c r="J13" s="8"/>
      <x:c r="K13" s="14" t="str">
        <x:f>IF(COUNTA(C13:G13,I13:J13,L13,N13:O13)=0,"",IF(AND(AND(C13&lt;&gt;"",D13&lt;&gt;"",COUNTIFS($C$11:$C$26,C13)=1,N13&lt;&gt;"",COUNT($E$5,$J$5)=2,$J$5&gt;=$E$5),ISNUMBER(H13),COUNT(I13:J13)=2,MIN(I13:J13)&gt;=0),I13*J13,"No calculable"))</x:f>
      </x:c>
      <x:c r="L13" s="8"/>
      <x:c r="M13" s="14" t="str">
        <x:f>IF(COUNTA(C13:G13,I13:J13,L13,N13:O13)=0,"",IF(AND(ISNUMBER(K13),ISNUMBER(L13),L13&gt;=0,O13="Completa"),K13-I13*L13,"No calculable"))</x:f>
      </x:c>
      <x:c r="N13" s="9"/>
      <x:c r="O13" s="9"/>
      <x:c r="P13" s="16" t="str">
        <x:f>IF(COUNTA(C13:G13,I13:J13,L13,N13:O13)=0,"",IF(AND(ISNUMBER(H13),ISNUMBER(K13),ISNUMBER(M13)),"Calculable","Revisar entradas"))</x:f>
      </x:c>
    </x:row>
    <x:row r="14" ht="28" customHeight="1">
      <x:c r="C14" s="8"/>
      <x:c r="D14" s="8"/>
      <x:c r="E14" s="8"/>
      <x:c r="F14" s="8"/>
      <x:c r="G14" s="8"/>
      <x:c r="H14" s="14" t="str">
        <x:f>IF(COUNTA(C14:G14,I14:J14,L14,N14:O14)=0,"",IF(AND(AND(C14&lt;&gt;"",D14&lt;&gt;"",COUNTIFS($C$11:$C$26,C14)=1,N14&lt;&gt;"",COUNT($E$5,$J$5)=2,$J$5&gt;=$E$5),COUNT(E14:G14)=3,MIN(E14:G14)&gt;=0,G14&lt;=E14+F14),SUM(E14:F14)-G14,"No calculable"))</x:f>
      </x:c>
      <x:c r="I14" s="8"/>
      <x:c r="J14" s="8"/>
      <x:c r="K14" s="14" t="str">
        <x:f>IF(COUNTA(C14:G14,I14:J14,L14,N14:O14)=0,"",IF(AND(AND(C14&lt;&gt;"",D14&lt;&gt;"",COUNTIFS($C$11:$C$26,C14)=1,N14&lt;&gt;"",COUNT($E$5,$J$5)=2,$J$5&gt;=$E$5),ISNUMBER(H14),COUNT(I14:J14)=2,MIN(I14:J14)&gt;=0),I14*J14,"No calculable"))</x:f>
      </x:c>
      <x:c r="L14" s="8"/>
      <x:c r="M14" s="14" t="str">
        <x:f>IF(COUNTA(C14:G14,I14:J14,L14,N14:O14)=0,"",IF(AND(ISNUMBER(K14),ISNUMBER(L14),L14&gt;=0,O14="Completa"),K14-I14*L14,"No calculable"))</x:f>
      </x:c>
      <x:c r="N14" s="9"/>
      <x:c r="O14" s="9"/>
      <x:c r="P14" s="16" t="str">
        <x:f>IF(COUNTA(C14:G14,I14:J14,L14,N14:O14)=0,"",IF(AND(ISNUMBER(H14),ISNUMBER(K14),ISNUMBER(M14)),"Calculable","Revisar entradas"))</x:f>
      </x:c>
    </x:row>
    <x:row r="15" ht="28" customHeight="1">
      <x:c r="C15" s="8"/>
      <x:c r="D15" s="8"/>
      <x:c r="E15" s="8"/>
      <x:c r="F15" s="8"/>
      <x:c r="G15" s="8"/>
      <x:c r="H15" s="14" t="str">
        <x:f>IF(COUNTA(C15:G15,I15:J15,L15,N15:O15)=0,"",IF(AND(AND(C15&lt;&gt;"",D15&lt;&gt;"",COUNTIFS($C$11:$C$26,C15)=1,N15&lt;&gt;"",COUNT($E$5,$J$5)=2,$J$5&gt;=$E$5),COUNT(E15:G15)=3,MIN(E15:G15)&gt;=0,G15&lt;=E15+F15),SUM(E15:F15)-G15,"No calculable"))</x:f>
      </x:c>
      <x:c r="I15" s="8"/>
      <x:c r="J15" s="8"/>
      <x:c r="K15" s="14" t="str">
        <x:f>IF(COUNTA(C15:G15,I15:J15,L15,N15:O15)=0,"",IF(AND(AND(C15&lt;&gt;"",D15&lt;&gt;"",COUNTIFS($C$11:$C$26,C15)=1,N15&lt;&gt;"",COUNT($E$5,$J$5)=2,$J$5&gt;=$E$5),ISNUMBER(H15),COUNT(I15:J15)=2,MIN(I15:J15)&gt;=0),I15*J15,"No calculable"))</x:f>
      </x:c>
      <x:c r="L15" s="8"/>
      <x:c r="M15" s="14" t="str">
        <x:f>IF(COUNTA(C15:G15,I15:J15,L15,N15:O15)=0,"",IF(AND(ISNUMBER(K15),ISNUMBER(L15),L15&gt;=0,O15="Completa"),K15-I15*L15,"No calculable"))</x:f>
      </x:c>
      <x:c r="N15" s="9"/>
      <x:c r="O15" s="9"/>
      <x:c r="P15" s="16" t="str">
        <x:f>IF(COUNTA(C15:G15,I15:J15,L15,N15:O15)=0,"",IF(AND(ISNUMBER(H15),ISNUMBER(K15),ISNUMBER(M15)),"Calculable","Revisar entradas"))</x:f>
      </x:c>
    </x:row>
    <x:row r="16" ht="28" customHeight="1">
      <x:c r="C16" s="8"/>
      <x:c r="D16" s="8"/>
      <x:c r="E16" s="8"/>
      <x:c r="F16" s="8"/>
      <x:c r="G16" s="8"/>
      <x:c r="H16" s="14" t="str">
        <x:f>IF(COUNTA(C16:G16,I16:J16,L16,N16:O16)=0,"",IF(AND(AND(C16&lt;&gt;"",D16&lt;&gt;"",COUNTIFS($C$11:$C$26,C16)=1,N16&lt;&gt;"",COUNT($E$5,$J$5)=2,$J$5&gt;=$E$5),COUNT(E16:G16)=3,MIN(E16:G16)&gt;=0,G16&lt;=E16+F16),SUM(E16:F16)-G16,"No calculable"))</x:f>
      </x:c>
      <x:c r="I16" s="8"/>
      <x:c r="J16" s="8"/>
      <x:c r="K16" s="14" t="str">
        <x:f>IF(COUNTA(C16:G16,I16:J16,L16,N16:O16)=0,"",IF(AND(AND(C16&lt;&gt;"",D16&lt;&gt;"",COUNTIFS($C$11:$C$26,C16)=1,N16&lt;&gt;"",COUNT($E$5,$J$5)=2,$J$5&gt;=$E$5),ISNUMBER(H16),COUNT(I16:J16)=2,MIN(I16:J16)&gt;=0),I16*J16,"No calculable"))</x:f>
      </x:c>
      <x:c r="L16" s="8"/>
      <x:c r="M16" s="14" t="str">
        <x:f>IF(COUNTA(C16:G16,I16:J16,L16,N16:O16)=0,"",IF(AND(ISNUMBER(K16),ISNUMBER(L16),L16&gt;=0,O16="Completa"),K16-I16*L16,"No calculable"))</x:f>
      </x:c>
      <x:c r="N16" s="9"/>
      <x:c r="O16" s="9"/>
      <x:c r="P16" s="16" t="str">
        <x:f>IF(COUNTA(C16:G16,I16:J16,L16,N16:O16)=0,"",IF(AND(ISNUMBER(H16),ISNUMBER(K16),ISNUMBER(M16)),"Calculable","Revisar entradas"))</x:f>
      </x:c>
    </x:row>
    <x:row r="17" ht="28" customHeight="1">
      <x:c r="C17" s="8"/>
      <x:c r="D17" s="8"/>
      <x:c r="E17" s="8"/>
      <x:c r="F17" s="8"/>
      <x:c r="G17" s="8"/>
      <x:c r="H17" s="14" t="str">
        <x:f>IF(COUNTA(C17:G17,I17:J17,L17,N17:O17)=0,"",IF(AND(AND(C17&lt;&gt;"",D17&lt;&gt;"",COUNTIFS($C$11:$C$26,C17)=1,N17&lt;&gt;"",COUNT($E$5,$J$5)=2,$J$5&gt;=$E$5),COUNT(E17:G17)=3,MIN(E17:G17)&gt;=0,G17&lt;=E17+F17),SUM(E17:F17)-G17,"No calculable"))</x:f>
      </x:c>
      <x:c r="I17" s="8"/>
      <x:c r="J17" s="8"/>
      <x:c r="K17" s="14" t="str">
        <x:f>IF(COUNTA(C17:G17,I17:J17,L17,N17:O17)=0,"",IF(AND(AND(C17&lt;&gt;"",D17&lt;&gt;"",COUNTIFS($C$11:$C$26,C17)=1,N17&lt;&gt;"",COUNT($E$5,$J$5)=2,$J$5&gt;=$E$5),ISNUMBER(H17),COUNT(I17:J17)=2,MIN(I17:J17)&gt;=0),I17*J17,"No calculable"))</x:f>
      </x:c>
      <x:c r="L17" s="8"/>
      <x:c r="M17" s="14" t="str">
        <x:f>IF(COUNTA(C17:G17,I17:J17,L17,N17:O17)=0,"",IF(AND(ISNUMBER(K17),ISNUMBER(L17),L17&gt;=0,O17="Completa"),K17-I17*L17,"No calculable"))</x:f>
      </x:c>
      <x:c r="N17" s="9"/>
      <x:c r="O17" s="9"/>
      <x:c r="P17" s="16" t="str">
        <x:f>IF(COUNTA(C17:G17,I17:J17,L17,N17:O17)=0,"",IF(AND(ISNUMBER(H17),ISNUMBER(K17),ISNUMBER(M17)),"Calculable","Revisar entradas"))</x:f>
      </x:c>
    </x:row>
    <x:row r="18" ht="28" customHeight="1">
      <x:c r="C18" s="8"/>
      <x:c r="D18" s="8"/>
      <x:c r="E18" s="8"/>
      <x:c r="F18" s="8"/>
      <x:c r="G18" s="8"/>
      <x:c r="H18" s="14" t="str">
        <x:f>IF(COUNTA(C18:G18,I18:J18,L18,N18:O18)=0,"",IF(AND(AND(C18&lt;&gt;"",D18&lt;&gt;"",COUNTIFS($C$11:$C$26,C18)=1,N18&lt;&gt;"",COUNT($E$5,$J$5)=2,$J$5&gt;=$E$5),COUNT(E18:G18)=3,MIN(E18:G18)&gt;=0,G18&lt;=E18+F18),SUM(E18:F18)-G18,"No calculable"))</x:f>
      </x:c>
      <x:c r="I18" s="8"/>
      <x:c r="J18" s="8"/>
      <x:c r="K18" s="14" t="str">
        <x:f>IF(COUNTA(C18:G18,I18:J18,L18,N18:O18)=0,"",IF(AND(AND(C18&lt;&gt;"",D18&lt;&gt;"",COUNTIFS($C$11:$C$26,C18)=1,N18&lt;&gt;"",COUNT($E$5,$J$5)=2,$J$5&gt;=$E$5),ISNUMBER(H18),COUNT(I18:J18)=2,MIN(I18:J18)&gt;=0),I18*J18,"No calculable"))</x:f>
      </x:c>
      <x:c r="L18" s="8"/>
      <x:c r="M18" s="14" t="str">
        <x:f>IF(COUNTA(C18:G18,I18:J18,L18,N18:O18)=0,"",IF(AND(ISNUMBER(K18),ISNUMBER(L18),L18&gt;=0,O18="Completa"),K18-I18*L18,"No calculable"))</x:f>
      </x:c>
      <x:c r="N18" s="9"/>
      <x:c r="O18" s="9"/>
      <x:c r="P18" s="16" t="str">
        <x:f>IF(COUNTA(C18:G18,I18:J18,L18,N18:O18)=0,"",IF(AND(ISNUMBER(H18),ISNUMBER(K18),ISNUMBER(M18)),"Calculable","Revisar entradas"))</x:f>
      </x:c>
    </x:row>
    <x:row r="19" ht="28" customHeight="1">
      <x:c r="C19" s="8"/>
      <x:c r="D19" s="8"/>
      <x:c r="E19" s="8"/>
      <x:c r="F19" s="8"/>
      <x:c r="G19" s="8"/>
      <x:c r="H19" s="14" t="str">
        <x:f>IF(COUNTA(C19:G19,I19:J19,L19,N19:O19)=0,"",IF(AND(AND(C19&lt;&gt;"",D19&lt;&gt;"",COUNTIFS($C$11:$C$26,C19)=1,N19&lt;&gt;"",COUNT($E$5,$J$5)=2,$J$5&gt;=$E$5),COUNT(E19:G19)=3,MIN(E19:G19)&gt;=0,G19&lt;=E19+F19),SUM(E19:F19)-G19,"No calculable"))</x:f>
      </x:c>
      <x:c r="I19" s="8"/>
      <x:c r="J19" s="8"/>
      <x:c r="K19" s="14" t="str">
        <x:f>IF(COUNTA(C19:G19,I19:J19,L19,N19:O19)=0,"",IF(AND(AND(C19&lt;&gt;"",D19&lt;&gt;"",COUNTIFS($C$11:$C$26,C19)=1,N19&lt;&gt;"",COUNT($E$5,$J$5)=2,$J$5&gt;=$E$5),ISNUMBER(H19),COUNT(I19:J19)=2,MIN(I19:J19)&gt;=0),I19*J19,"No calculable"))</x:f>
      </x:c>
      <x:c r="L19" s="8"/>
      <x:c r="M19" s="14" t="str">
        <x:f>IF(COUNTA(C19:G19,I19:J19,L19,N19:O19)=0,"",IF(AND(ISNUMBER(K19),ISNUMBER(L19),L19&gt;=0,O19="Completa"),K19-I19*L19,"No calculable"))</x:f>
      </x:c>
      <x:c r="N19" s="9"/>
      <x:c r="O19" s="9"/>
      <x:c r="P19" s="16" t="str">
        <x:f>IF(COUNTA(C19:G19,I19:J19,L19,N19:O19)=0,"",IF(AND(ISNUMBER(H19),ISNUMBER(K19),ISNUMBER(M19)),"Calculable","Revisar entradas"))</x:f>
      </x:c>
    </x:row>
    <x:row r="20" ht="28" customHeight="1">
      <x:c r="C20" s="8"/>
      <x:c r="D20" s="8"/>
      <x:c r="E20" s="8"/>
      <x:c r="F20" s="8"/>
      <x:c r="G20" s="8"/>
      <x:c r="H20" s="14" t="str">
        <x:f>IF(COUNTA(C20:G20,I20:J20,L20,N20:O20)=0,"",IF(AND(AND(C20&lt;&gt;"",D20&lt;&gt;"",COUNTIFS($C$11:$C$26,C20)=1,N20&lt;&gt;"",COUNT($E$5,$J$5)=2,$J$5&gt;=$E$5),COUNT(E20:G20)=3,MIN(E20:G20)&gt;=0,G20&lt;=E20+F20),SUM(E20:F20)-G20,"No calculable"))</x:f>
      </x:c>
      <x:c r="I20" s="8"/>
      <x:c r="J20" s="8"/>
      <x:c r="K20" s="14" t="str">
        <x:f>IF(COUNTA(C20:G20,I20:J20,L20,N20:O20)=0,"",IF(AND(AND(C20&lt;&gt;"",D20&lt;&gt;"",COUNTIFS($C$11:$C$26,C20)=1,N20&lt;&gt;"",COUNT($E$5,$J$5)=2,$J$5&gt;=$E$5),ISNUMBER(H20),COUNT(I20:J20)=2,MIN(I20:J20)&gt;=0),I20*J20,"No calculable"))</x:f>
      </x:c>
      <x:c r="L20" s="8"/>
      <x:c r="M20" s="14" t="str">
        <x:f>IF(COUNTA(C20:G20,I20:J20,L20,N20:O20)=0,"",IF(AND(ISNUMBER(K20),ISNUMBER(L20),L20&gt;=0,O20="Completa"),K20-I20*L20,"No calculable"))</x:f>
      </x:c>
      <x:c r="N20" s="9"/>
      <x:c r="O20" s="9"/>
      <x:c r="P20" s="16" t="str">
        <x:f>IF(COUNTA(C20:G20,I20:J20,L20,N20:O20)=0,"",IF(AND(ISNUMBER(H20),ISNUMBER(K20),ISNUMBER(M20)),"Calculable","Revisar entradas"))</x:f>
      </x:c>
    </x:row>
    <x:row r="21" ht="28" customHeight="1">
      <x:c r="C21" s="8"/>
      <x:c r="D21" s="8"/>
      <x:c r="E21" s="8"/>
      <x:c r="F21" s="8"/>
      <x:c r="G21" s="8"/>
      <x:c r="H21" s="14" t="str">
        <x:f>IF(COUNTA(C21:G21,I21:J21,L21,N21:O21)=0,"",IF(AND(AND(C21&lt;&gt;"",D21&lt;&gt;"",COUNTIFS($C$11:$C$26,C21)=1,N21&lt;&gt;"",COUNT($E$5,$J$5)=2,$J$5&gt;=$E$5),COUNT(E21:G21)=3,MIN(E21:G21)&gt;=0,G21&lt;=E21+F21),SUM(E21:F21)-G21,"No calculable"))</x:f>
      </x:c>
      <x:c r="I21" s="8"/>
      <x:c r="J21" s="8"/>
      <x:c r="K21" s="14" t="str">
        <x:f>IF(COUNTA(C21:G21,I21:J21,L21,N21:O21)=0,"",IF(AND(AND(C21&lt;&gt;"",D21&lt;&gt;"",COUNTIFS($C$11:$C$26,C21)=1,N21&lt;&gt;"",COUNT($E$5,$J$5)=2,$J$5&gt;=$E$5),ISNUMBER(H21),COUNT(I21:J21)=2,MIN(I21:J21)&gt;=0),I21*J21,"No calculable"))</x:f>
      </x:c>
      <x:c r="L21" s="8"/>
      <x:c r="M21" s="14" t="str">
        <x:f>IF(COUNTA(C21:G21,I21:J21,L21,N21:O21)=0,"",IF(AND(ISNUMBER(K21),ISNUMBER(L21),L21&gt;=0,O21="Completa"),K21-I21*L21,"No calculable"))</x:f>
      </x:c>
      <x:c r="N21" s="9"/>
      <x:c r="O21" s="9"/>
      <x:c r="P21" s="16" t="str">
        <x:f>IF(COUNTA(C21:G21,I21:J21,L21,N21:O21)=0,"",IF(AND(ISNUMBER(H21),ISNUMBER(K21),ISNUMBER(M21)),"Calculable","Revisar entradas"))</x:f>
      </x:c>
    </x:row>
    <x:row r="22" ht="28" customHeight="1">
      <x:c r="C22" s="8"/>
      <x:c r="D22" s="8"/>
      <x:c r="E22" s="8"/>
      <x:c r="F22" s="8"/>
      <x:c r="G22" s="8"/>
      <x:c r="H22" s="14" t="str">
        <x:f>IF(COUNTA(C22:G22,I22:J22,L22,N22:O22)=0,"",IF(AND(AND(C22&lt;&gt;"",D22&lt;&gt;"",COUNTIFS($C$11:$C$26,C22)=1,N22&lt;&gt;"",COUNT($E$5,$J$5)=2,$J$5&gt;=$E$5),COUNT(E22:G22)=3,MIN(E22:G22)&gt;=0,G22&lt;=E22+F22),SUM(E22:F22)-G22,"No calculable"))</x:f>
      </x:c>
      <x:c r="I22" s="8"/>
      <x:c r="J22" s="8"/>
      <x:c r="K22" s="14" t="str">
        <x:f>IF(COUNTA(C22:G22,I22:J22,L22,N22:O22)=0,"",IF(AND(AND(C22&lt;&gt;"",D22&lt;&gt;"",COUNTIFS($C$11:$C$26,C22)=1,N22&lt;&gt;"",COUNT($E$5,$J$5)=2,$J$5&gt;=$E$5),ISNUMBER(H22),COUNT(I22:J22)=2,MIN(I22:J22)&gt;=0),I22*J22,"No calculable"))</x:f>
      </x:c>
      <x:c r="L22" s="8"/>
      <x:c r="M22" s="14" t="str">
        <x:f>IF(COUNTA(C22:G22,I22:J22,L22,N22:O22)=0,"",IF(AND(ISNUMBER(K22),ISNUMBER(L22),L22&gt;=0,O22="Completa"),K22-I22*L22,"No calculable"))</x:f>
      </x:c>
      <x:c r="N22" s="9"/>
      <x:c r="O22" s="9"/>
      <x:c r="P22" s="16" t="str">
        <x:f>IF(COUNTA(C22:G22,I22:J22,L22,N22:O22)=0,"",IF(AND(ISNUMBER(H22),ISNUMBER(K22),ISNUMBER(M22)),"Calculable","Revisar entradas"))</x:f>
      </x:c>
    </x:row>
    <x:row r="23" ht="28" customHeight="1">
      <x:c r="C23" s="8"/>
      <x:c r="D23" s="8"/>
      <x:c r="E23" s="8"/>
      <x:c r="F23" s="8"/>
      <x:c r="G23" s="8"/>
      <x:c r="H23" s="14" t="str">
        <x:f>IF(COUNTA(C23:G23,I23:J23,L23,N23:O23)=0,"",IF(AND(AND(C23&lt;&gt;"",D23&lt;&gt;"",COUNTIFS($C$11:$C$26,C23)=1,N23&lt;&gt;"",COUNT($E$5,$J$5)=2,$J$5&gt;=$E$5),COUNT(E23:G23)=3,MIN(E23:G23)&gt;=0,G23&lt;=E23+F23),SUM(E23:F23)-G23,"No calculable"))</x:f>
      </x:c>
      <x:c r="I23" s="8"/>
      <x:c r="J23" s="8"/>
      <x:c r="K23" s="14" t="str">
        <x:f>IF(COUNTA(C23:G23,I23:J23,L23,N23:O23)=0,"",IF(AND(AND(C23&lt;&gt;"",D23&lt;&gt;"",COUNTIFS($C$11:$C$26,C23)=1,N23&lt;&gt;"",COUNT($E$5,$J$5)=2,$J$5&gt;=$E$5),ISNUMBER(H23),COUNT(I23:J23)=2,MIN(I23:J23)&gt;=0),I23*J23,"No calculable"))</x:f>
      </x:c>
      <x:c r="L23" s="8"/>
      <x:c r="M23" s="14" t="str">
        <x:f>IF(COUNTA(C23:G23,I23:J23,L23,N23:O23)=0,"",IF(AND(ISNUMBER(K23),ISNUMBER(L23),L23&gt;=0,O23="Completa"),K23-I23*L23,"No calculable"))</x:f>
      </x:c>
      <x:c r="N23" s="9"/>
      <x:c r="O23" s="9"/>
      <x:c r="P23" s="16" t="str">
        <x:f>IF(COUNTA(C23:G23,I23:J23,L23,N23:O23)=0,"",IF(AND(ISNUMBER(H23),ISNUMBER(K23),ISNUMBER(M23)),"Calculable","Revisar entradas"))</x:f>
      </x:c>
    </x:row>
    <x:row r="24" ht="28" customHeight="1">
      <x:c r="C24" s="8"/>
      <x:c r="D24" s="8"/>
      <x:c r="E24" s="8"/>
      <x:c r="F24" s="8"/>
      <x:c r="G24" s="8"/>
      <x:c r="H24" s="14" t="str">
        <x:f>IF(COUNTA(C24:G24,I24:J24,L24,N24:O24)=0,"",IF(AND(AND(C24&lt;&gt;"",D24&lt;&gt;"",COUNTIFS($C$11:$C$26,C24)=1,N24&lt;&gt;"",COUNT($E$5,$J$5)=2,$J$5&gt;=$E$5),COUNT(E24:G24)=3,MIN(E24:G24)&gt;=0,G24&lt;=E24+F24),SUM(E24:F24)-G24,"No calculable"))</x:f>
      </x:c>
      <x:c r="I24" s="8"/>
      <x:c r="J24" s="8"/>
      <x:c r="K24" s="14" t="str">
        <x:f>IF(COUNTA(C24:G24,I24:J24,L24,N24:O24)=0,"",IF(AND(AND(C24&lt;&gt;"",D24&lt;&gt;"",COUNTIFS($C$11:$C$26,C24)=1,N24&lt;&gt;"",COUNT($E$5,$J$5)=2,$J$5&gt;=$E$5),ISNUMBER(H24),COUNT(I24:J24)=2,MIN(I24:J24)&gt;=0),I24*J24,"No calculable"))</x:f>
      </x:c>
      <x:c r="L24" s="8"/>
      <x:c r="M24" s="14" t="str">
        <x:f>IF(COUNTA(C24:G24,I24:J24,L24,N24:O24)=0,"",IF(AND(ISNUMBER(K24),ISNUMBER(L24),L24&gt;=0,O24="Completa"),K24-I24*L24,"No calculable"))</x:f>
      </x:c>
      <x:c r="N24" s="9"/>
      <x:c r="O24" s="9"/>
      <x:c r="P24" s="16" t="str">
        <x:f>IF(COUNTA(C24:G24,I24:J24,L24,N24:O24)=0,"",IF(AND(ISNUMBER(H24),ISNUMBER(K24),ISNUMBER(M24)),"Calculable","Revisar entradas"))</x:f>
      </x:c>
    </x:row>
    <x:row r="25" ht="28" customHeight="1">
      <x:c r="C25" s="8"/>
      <x:c r="D25" s="8"/>
      <x:c r="E25" s="8"/>
      <x:c r="F25" s="8"/>
      <x:c r="G25" s="8"/>
      <x:c r="H25" s="14" t="str">
        <x:f>IF(COUNTA(C25:G25,I25:J25,L25,N25:O25)=0,"",IF(AND(AND(C25&lt;&gt;"",D25&lt;&gt;"",COUNTIFS($C$11:$C$26,C25)=1,N25&lt;&gt;"",COUNT($E$5,$J$5)=2,$J$5&gt;=$E$5),COUNT(E25:G25)=3,MIN(E25:G25)&gt;=0,G25&lt;=E25+F25),SUM(E25:F25)-G25,"No calculable"))</x:f>
      </x:c>
      <x:c r="I25" s="8"/>
      <x:c r="J25" s="8"/>
      <x:c r="K25" s="14" t="str">
        <x:f>IF(COUNTA(C25:G25,I25:J25,L25,N25:O25)=0,"",IF(AND(AND(C25&lt;&gt;"",D25&lt;&gt;"",COUNTIFS($C$11:$C$26,C25)=1,N25&lt;&gt;"",COUNT($E$5,$J$5)=2,$J$5&gt;=$E$5),ISNUMBER(H25),COUNT(I25:J25)=2,MIN(I25:J25)&gt;=0),I25*J25,"No calculable"))</x:f>
      </x:c>
      <x:c r="L25" s="8"/>
      <x:c r="M25" s="14" t="str">
        <x:f>IF(COUNTA(C25:G25,I25:J25,L25,N25:O25)=0,"",IF(AND(ISNUMBER(K25),ISNUMBER(L25),L25&gt;=0,O25="Completa"),K25-I25*L25,"No calculable"))</x:f>
      </x:c>
      <x:c r="N25" s="9"/>
      <x:c r="O25" s="9"/>
      <x:c r="P25" s="16" t="str">
        <x:f>IF(COUNTA(C25:G25,I25:J25,L25,N25:O25)=0,"",IF(AND(ISNUMBER(H25),ISNUMBER(K25),ISNUMBER(M25)),"Calculable","Revisar entradas"))</x:f>
      </x:c>
    </x:row>
    <x:row r="26" ht="28" customHeight="1">
      <x:c r="C26" s="8"/>
      <x:c r="D26" s="8"/>
      <x:c r="E26" s="8"/>
      <x:c r="F26" s="8"/>
      <x:c r="G26" s="8"/>
      <x:c r="H26" s="14" t="str">
        <x:f>IF(COUNTA(C26:G26,I26:J26,L26,N26:O26)=0,"",IF(AND(AND(C26&lt;&gt;"",D26&lt;&gt;"",COUNTIFS($C$11:$C$26,C26)=1,N26&lt;&gt;"",COUNT($E$5,$J$5)=2,$J$5&gt;=$E$5),COUNT(E26:G26)=3,MIN(E26:G26)&gt;=0,G26&lt;=E26+F26),SUM(E26:F26)-G26,"No calculable"))</x:f>
      </x:c>
      <x:c r="I26" s="8"/>
      <x:c r="J26" s="8"/>
      <x:c r="K26" s="14" t="str">
        <x:f>IF(COUNTA(C26:G26,I26:J26,L26,N26:O26)=0,"",IF(AND(AND(C26&lt;&gt;"",D26&lt;&gt;"",COUNTIFS($C$11:$C$26,C26)=1,N26&lt;&gt;"",COUNT($E$5,$J$5)=2,$J$5&gt;=$E$5),ISNUMBER(H26),COUNT(I26:J26)=2,MIN(I26:J26)&gt;=0),I26*J26,"No calculable"))</x:f>
      </x:c>
      <x:c r="L26" s="8"/>
      <x:c r="M26" s="14" t="str">
        <x:f>IF(COUNTA(C26:G26,I26:J26,L26,N26:O26)=0,"",IF(AND(ISNUMBER(K26),ISNUMBER(L26),L26&gt;=0,O26="Completa"),K26-I26*L26,"No calculable"))</x:f>
      </x:c>
      <x:c r="N26" s="9"/>
      <x:c r="O26" s="9"/>
      <x:c r="P26" s="16" t="str">
        <x:f>IF(COUNTA(C26:G26,I26:J26,L26,N26:O26)=0,"",IF(AND(ISNUMBER(H26),ISNUMBER(K26),ISNUMBER(M26)),"Calculable","Revisar entradas"))</x:f>
      </x:c>
    </x:row>
    <x:row r="27" ht="28" customHeight="1"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8" customHeight="1">
      <x:c r="C28" s="3" t="str">
        <x:v>Precio y exposición usan la misma moneda y base de reconocimiento de Economia.</x:v>
      </x:c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8" customHeight="1">
      <x:c r="C29" s="3" t="str">
        <x:v>Vincular componentes a Economia solo una vez. Implantación y expansión pueden requerir otra unidad.</x:v>
      </x:c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8" customHeight="1"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</x:sheetData>
  <x:conditionalFormatting sqref="P11:P26">
    <x:cfRule type="containsText" dxfId="20" priority="1" operator="containsText" text="Revisar"/>
    <x:cfRule type="containsText" dxfId="21" priority="2" operator="containsText" text="No calculable"/>
  </x:conditionalFormatting>
  <x:dataValidations count="1">
    <x:dataValidation type="list" sqref="O11:O26">
      <x:formula1>"Completa,Parcial"</x:formula1>
    </x:dataValidation>
  </x:dataValidations>
  <x:pageMargins left="0.7" right="0.7" top="0.75" bottom="0.75" header="0.3" footer="0.3"/>
</x:worksheet>
</file>